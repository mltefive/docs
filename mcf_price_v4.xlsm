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F:\ga\prjs\юрчук\DATA\"/>
    </mc:Choice>
  </mc:AlternateContent>
  <bookViews>
    <workbookView xWindow="120" yWindow="90" windowWidth="19095" windowHeight="8955" tabRatio="881"/>
  </bookViews>
  <sheets>
    <sheet name="ВЧ Динамики" sheetId="1" r:id="rId1"/>
    <sheet name="НЧ динамики" sheetId="4" r:id="rId2"/>
    <sheet name="Микшерные пульты" sheetId="2" r:id="rId3"/>
    <sheet name="Мультиколор" sheetId="3" r:id="rId4"/>
    <sheet name="Селекторное оборудование" sheetId="6" r:id="rId5"/>
    <sheet name="стойки" sheetId="7" r:id="rId6"/>
    <sheet name="Студ мониторы" sheetId="8" r:id="rId7"/>
    <sheet name="МС LED системы" sheetId="9" r:id="rId8"/>
    <sheet name="Акустические системы" sheetId="10" r:id="rId9"/>
    <sheet name="Коммутация и коннет соединения" sheetId="11" r:id="rId10"/>
    <sheet name="Радиосистемы" sheetId="12" r:id="rId11"/>
    <sheet name="Усилители мощности" sheetId="13" r:id="rId12"/>
    <sheet name="Процессоры, контроллеры" sheetId="5" r:id="rId13"/>
  </sheets>
  <definedNames>
    <definedName name="_GoBack" localSheetId="0">'ВЧ Динамики'!#REF!</definedName>
    <definedName name="_xlnm._FilterDatabase" localSheetId="8" hidden="1">'Акустические системы'!$A$37:$AH$37</definedName>
  </definedNames>
  <calcPr calcId="162913"/>
</workbook>
</file>

<file path=xl/calcChain.xml><?xml version="1.0" encoding="utf-8"?>
<calcChain xmlns="http://schemas.openxmlformats.org/spreadsheetml/2006/main">
  <c r="L2" i="13" l="1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AP2" i="12"/>
  <c r="AP3" i="12"/>
  <c r="AP4" i="12"/>
  <c r="AP5" i="12"/>
  <c r="AP6" i="12"/>
  <c r="AP7" i="12"/>
  <c r="AP8" i="12"/>
  <c r="AP9" i="12"/>
  <c r="AP10" i="12"/>
  <c r="AP11" i="12"/>
  <c r="AP12" i="12"/>
  <c r="AP13" i="12"/>
  <c r="AP14" i="12"/>
  <c r="AP15" i="12"/>
  <c r="AP16" i="12"/>
  <c r="AP17" i="12"/>
  <c r="AP18" i="12"/>
  <c r="AP19" i="12"/>
  <c r="AP20" i="12"/>
  <c r="AP21" i="12"/>
  <c r="AP22" i="12"/>
  <c r="AP23" i="12"/>
  <c r="AP24" i="12"/>
  <c r="AP25" i="12"/>
  <c r="K2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AE2" i="10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F46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S2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K2" i="7"/>
  <c r="K3" i="7"/>
  <c r="K4" i="7"/>
  <c r="K5" i="7"/>
  <c r="K6" i="7"/>
  <c r="K7" i="7"/>
  <c r="K8" i="7"/>
  <c r="K9" i="7"/>
  <c r="K10" i="7"/>
  <c r="K11" i="7"/>
  <c r="K12" i="7"/>
  <c r="K13" i="7"/>
  <c r="K14" i="7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F3" i="3"/>
  <c r="F2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AD41" i="2"/>
  <c r="AD42" i="2"/>
  <c r="AD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R15" i="1"/>
  <c r="R16" i="1"/>
  <c r="R17" i="1"/>
  <c r="R18" i="1"/>
  <c r="R19" i="1"/>
  <c r="R20" i="1"/>
  <c r="R21" i="1"/>
  <c r="R5" i="1"/>
  <c r="R6" i="1"/>
  <c r="R7" i="1"/>
  <c r="R8" i="1"/>
  <c r="R9" i="1"/>
  <c r="R10" i="1"/>
  <c r="R11" i="1"/>
  <c r="R12" i="1"/>
  <c r="R13" i="1"/>
  <c r="R14" i="1"/>
  <c r="R4" i="1"/>
  <c r="R3" i="1"/>
  <c r="R2" i="1"/>
  <c r="S3" i="5" l="1"/>
  <c r="S4" i="5"/>
  <c r="T4" i="5" s="1"/>
  <c r="S5" i="5"/>
  <c r="S6" i="5"/>
  <c r="T6" i="5" s="1"/>
  <c r="S7" i="5"/>
  <c r="S8" i="5"/>
  <c r="T8" i="5" s="1"/>
  <c r="S9" i="5"/>
  <c r="S10" i="5"/>
  <c r="T10" i="5" s="1"/>
  <c r="S11" i="5"/>
  <c r="S12" i="5"/>
  <c r="T12" i="5" s="1"/>
  <c r="S13" i="5"/>
  <c r="S14" i="5"/>
  <c r="S15" i="5"/>
  <c r="S16" i="5"/>
  <c r="S17" i="5"/>
  <c r="S18" i="5"/>
  <c r="S19" i="5"/>
  <c r="S20" i="5"/>
  <c r="S2" i="5"/>
  <c r="T14" i="5"/>
  <c r="T15" i="5"/>
  <c r="T16" i="5"/>
  <c r="T17" i="5"/>
  <c r="T18" i="5"/>
  <c r="T19" i="5"/>
  <c r="T20" i="5"/>
  <c r="T11" i="5"/>
  <c r="T9" i="5"/>
  <c r="T7" i="5"/>
  <c r="T5" i="5"/>
  <c r="T3" i="5"/>
  <c r="T2" i="5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2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P2" i="13"/>
  <c r="AS3" i="12"/>
  <c r="AS4" i="12"/>
  <c r="AT4" i="12" s="1"/>
  <c r="AS5" i="12"/>
  <c r="AS6" i="12"/>
  <c r="AS7" i="12"/>
  <c r="AS8" i="12"/>
  <c r="AS9" i="12"/>
  <c r="AS10" i="12"/>
  <c r="AT10" i="12" s="1"/>
  <c r="AS11" i="12"/>
  <c r="AS12" i="12"/>
  <c r="AT12" i="12" s="1"/>
  <c r="AS13" i="12"/>
  <c r="AS14" i="12"/>
  <c r="AS15" i="12"/>
  <c r="AS16" i="12"/>
  <c r="AS17" i="12"/>
  <c r="AS18" i="12"/>
  <c r="AT18" i="12" s="1"/>
  <c r="AS19" i="12"/>
  <c r="AS20" i="12"/>
  <c r="AT20" i="12" s="1"/>
  <c r="AS21" i="12"/>
  <c r="AS22" i="12"/>
  <c r="AS23" i="12"/>
  <c r="AS24" i="12"/>
  <c r="AT24" i="12" s="1"/>
  <c r="AS25" i="12"/>
  <c r="AS2" i="12"/>
  <c r="AT3" i="12"/>
  <c r="AT6" i="12"/>
  <c r="AT7" i="12"/>
  <c r="AT8" i="12"/>
  <c r="AT11" i="12"/>
  <c r="AT14" i="12"/>
  <c r="AT15" i="12"/>
  <c r="AT16" i="12"/>
  <c r="AT19" i="12"/>
  <c r="AT22" i="12"/>
  <c r="AT23" i="12"/>
  <c r="AT25" i="12"/>
  <c r="AT21" i="12"/>
  <c r="AT17" i="12"/>
  <c r="AT13" i="12"/>
  <c r="AT9" i="12"/>
  <c r="AT5" i="12"/>
  <c r="AT2" i="12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2" i="11"/>
  <c r="O66" i="11"/>
  <c r="O65" i="11"/>
  <c r="O64" i="11"/>
  <c r="O63" i="11"/>
  <c r="O62" i="11"/>
  <c r="O61" i="11"/>
  <c r="O60" i="1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  <c r="AM3" i="10"/>
  <c r="AM4" i="10"/>
  <c r="AM5" i="10"/>
  <c r="AM6" i="10"/>
  <c r="AM7" i="10"/>
  <c r="AM8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L43" i="10"/>
  <c r="AL44" i="10"/>
  <c r="AL45" i="10"/>
  <c r="AL46" i="10"/>
  <c r="AL47" i="10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2" i="10"/>
  <c r="AM2" i="10"/>
  <c r="AJ4" i="9"/>
  <c r="AJ5" i="9"/>
  <c r="AJ6" i="9"/>
  <c r="AJ7" i="9"/>
  <c r="AJ8" i="9"/>
  <c r="AJ9" i="9"/>
  <c r="AJ10" i="9"/>
  <c r="AJ11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I3" i="9"/>
  <c r="AJ3" i="9" s="1"/>
  <c r="AI4" i="9"/>
  <c r="AI5" i="9"/>
  <c r="AI6" i="9"/>
  <c r="AI7" i="9"/>
  <c r="AI8" i="9"/>
  <c r="AI9" i="9"/>
  <c r="AI10" i="9"/>
  <c r="AI11" i="9"/>
  <c r="AI12" i="9"/>
  <c r="AJ12" i="9" s="1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2" i="9"/>
  <c r="AJ2" i="9" s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" i="8"/>
  <c r="M3" i="7"/>
  <c r="N3" i="7" s="1"/>
  <c r="M4" i="7"/>
  <c r="N4" i="7" s="1"/>
  <c r="M5" i="7"/>
  <c r="N5" i="7" s="1"/>
  <c r="M6" i="7"/>
  <c r="N6" i="7" s="1"/>
  <c r="M7" i="7"/>
  <c r="N7" i="7" s="1"/>
  <c r="M8" i="7"/>
  <c r="N8" i="7" s="1"/>
  <c r="M9" i="7"/>
  <c r="N9" i="7" s="1"/>
  <c r="M10" i="7"/>
  <c r="N10" i="7" s="1"/>
  <c r="M11" i="7"/>
  <c r="N11" i="7" s="1"/>
  <c r="M12" i="7"/>
  <c r="N12" i="7" s="1"/>
  <c r="M13" i="7"/>
  <c r="N13" i="7" s="1"/>
  <c r="M14" i="7"/>
  <c r="N14" i="7" s="1"/>
  <c r="M2" i="7"/>
  <c r="N2" i="7" s="1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2" i="6"/>
  <c r="AD2" i="6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2" i="4"/>
  <c r="S2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H23" i="2" s="1"/>
  <c r="AG24" i="2"/>
  <c r="AH24" i="2" s="1"/>
  <c r="AG25" i="2"/>
  <c r="AH25" i="2" s="1"/>
  <c r="AG26" i="2"/>
  <c r="AH26" i="2" s="1"/>
  <c r="AG27" i="2"/>
  <c r="AH27" i="2" s="1"/>
  <c r="AG28" i="2"/>
  <c r="AH28" i="2" s="1"/>
  <c r="AG29" i="2"/>
  <c r="AH29" i="2" s="1"/>
  <c r="AG30" i="2"/>
  <c r="AH30" i="2" s="1"/>
  <c r="AG31" i="2"/>
  <c r="AH31" i="2" s="1"/>
  <c r="AG32" i="2"/>
  <c r="AH32" i="2" s="1"/>
  <c r="AG33" i="2"/>
  <c r="AH33" i="2" s="1"/>
  <c r="AG34" i="2"/>
  <c r="AH34" i="2" s="1"/>
  <c r="AG35" i="2"/>
  <c r="AH35" i="2" s="1"/>
  <c r="AG36" i="2"/>
  <c r="AH36" i="2" s="1"/>
  <c r="AG37" i="2"/>
  <c r="AH37" i="2" s="1"/>
  <c r="AG38" i="2"/>
  <c r="AH38" i="2" s="1"/>
  <c r="AG39" i="2"/>
  <c r="AH39" i="2" s="1"/>
  <c r="AG40" i="2"/>
  <c r="AH40" i="2" s="1"/>
  <c r="AG41" i="2"/>
  <c r="AH41" i="2" s="1"/>
  <c r="AG42" i="2"/>
  <c r="AH42" i="2" s="1"/>
  <c r="AG2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AH2" i="2"/>
  <c r="T3" i="1" l="1"/>
  <c r="U3" i="1" s="1"/>
  <c r="T4" i="1"/>
  <c r="U4" i="1" s="1"/>
  <c r="T5" i="1"/>
  <c r="U5" i="1" s="1"/>
  <c r="T6" i="1"/>
  <c r="U6" i="1" s="1"/>
  <c r="T7" i="1"/>
  <c r="U7" i="1" s="1"/>
  <c r="T8" i="1"/>
  <c r="U8" i="1" s="1"/>
  <c r="T9" i="1"/>
  <c r="U9" i="1" s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" i="1"/>
  <c r="U2" i="1" s="1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</calcChain>
</file>

<file path=xl/sharedStrings.xml><?xml version="1.0" encoding="utf-8"?>
<sst xmlns="http://schemas.openxmlformats.org/spreadsheetml/2006/main" count="9292" uniqueCount="1998">
  <si>
    <t>Модель</t>
  </si>
  <si>
    <t>Цена</t>
  </si>
  <si>
    <t>Тип динамика:</t>
  </si>
  <si>
    <t>Материал корпуса:</t>
  </si>
  <si>
    <t>KSV 0.08</t>
  </si>
  <si>
    <t>Материал катушки:</t>
  </si>
  <si>
    <t>CCAW VC</t>
  </si>
  <si>
    <t>Мощность:</t>
  </si>
  <si>
    <t>25W RMS</t>
  </si>
  <si>
    <t>Сопротивление:</t>
  </si>
  <si>
    <t>8 Ом</t>
  </si>
  <si>
    <t>Внутренний диаметр:</t>
  </si>
  <si>
    <t>25.4 мм</t>
  </si>
  <si>
    <t>Чувствительность:</t>
  </si>
  <si>
    <t>105 дБ</t>
  </si>
  <si>
    <t>Диапазон частот:</t>
  </si>
  <si>
    <t>2 кГц – 20 кГц</t>
  </si>
  <si>
    <t>Общий диаметр:</t>
  </si>
  <si>
    <t>95.0 мм</t>
  </si>
  <si>
    <t>Глубина:</t>
  </si>
  <si>
    <t>40.0 мм</t>
  </si>
  <si>
    <t>Размер магнита:</t>
  </si>
  <si>
    <t>70 х 10 мм</t>
  </si>
  <si>
    <t>Крепление: катушки</t>
  </si>
  <si>
    <t>Диафрагма:</t>
  </si>
  <si>
    <t>Титановая мембрана</t>
  </si>
  <si>
    <t>70 x 10 мм</t>
  </si>
  <si>
    <t>100.0 мм</t>
  </si>
  <si>
    <t>85.0 мм</t>
  </si>
  <si>
    <t>30W RMS</t>
  </si>
  <si>
    <t>95 дБ</t>
  </si>
  <si>
    <t>70.0 мм</t>
  </si>
  <si>
    <t>79.0 мм</t>
  </si>
  <si>
    <t>25 х 7 мм</t>
  </si>
  <si>
    <t>99.0 мм</t>
  </si>
  <si>
    <t>34.4 мм</t>
  </si>
  <si>
    <t>106 дБ</t>
  </si>
  <si>
    <t>2 кГц – 17 кГц</t>
  </si>
  <si>
    <t>90.0 мм</t>
  </si>
  <si>
    <t>52.0 мм</t>
  </si>
  <si>
    <t xml:space="preserve">90 х 15 мм </t>
  </si>
  <si>
    <t>112 дБ</t>
  </si>
  <si>
    <t>137 мм</t>
  </si>
  <si>
    <t>75 мм</t>
  </si>
  <si>
    <t>15 x 135 мм</t>
  </si>
  <si>
    <t>40 Вт</t>
  </si>
  <si>
    <t>108 дБ</t>
  </si>
  <si>
    <t>1 кГц – 20 кГц</t>
  </si>
  <si>
    <t>88 мм</t>
  </si>
  <si>
    <t>45 мм</t>
  </si>
  <si>
    <t>8 x 88 мм</t>
  </si>
  <si>
    <t>М 34.4</t>
  </si>
  <si>
    <t>44.4 мм</t>
  </si>
  <si>
    <t>120.0 мм</t>
  </si>
  <si>
    <t>50.0 мм</t>
  </si>
  <si>
    <t>120 х 15 мм</t>
  </si>
  <si>
    <t>49.0 мм</t>
  </si>
  <si>
    <t>90 х 8 мм</t>
  </si>
  <si>
    <t>110 дБ</t>
  </si>
  <si>
    <t>80 Вт</t>
  </si>
  <si>
    <t>132 мм</t>
  </si>
  <si>
    <t>60 мм</t>
  </si>
  <si>
    <t>17 x 132 мм</t>
  </si>
  <si>
    <t>М 51.2</t>
  </si>
  <si>
    <t>Титановая плёнка</t>
  </si>
  <si>
    <t>60 Вт</t>
  </si>
  <si>
    <t>107 дБ</t>
  </si>
  <si>
    <t>122 мм</t>
  </si>
  <si>
    <t>50 мм</t>
  </si>
  <si>
    <t>15 x 121 мм</t>
  </si>
  <si>
    <t>М 44.4</t>
  </si>
  <si>
    <t>35 Вт</t>
  </si>
  <si>
    <t>90 мм</t>
  </si>
  <si>
    <t>15 x 90 мм</t>
  </si>
  <si>
    <t>131 мм</t>
  </si>
  <si>
    <t>56  мм</t>
  </si>
  <si>
    <t>8 x 130 мм</t>
  </si>
  <si>
    <t>115 мм</t>
  </si>
  <si>
    <t>54 мм</t>
  </si>
  <si>
    <t>8 x 107 мм</t>
  </si>
  <si>
    <t xml:space="preserve">1 690 </t>
  </si>
  <si>
    <t xml:space="preserve">2 990 </t>
  </si>
  <si>
    <t xml:space="preserve">2 490 </t>
  </si>
  <si>
    <t xml:space="preserve">1 990 </t>
  </si>
  <si>
    <t xml:space="preserve">3 990 </t>
  </si>
  <si>
    <t>51.0 мм</t>
  </si>
  <si>
    <t>2.5 кГц – 20 кГц</t>
  </si>
  <si>
    <t>51.2 мм</t>
  </si>
  <si>
    <t>Каналы:</t>
  </si>
  <si>
    <t>6 моно 4 стерео</t>
  </si>
  <si>
    <t xml:space="preserve">Выходная мощность: </t>
  </si>
  <si>
    <t>2х500 Вт (8 Ом)</t>
  </si>
  <si>
    <t>2х1000 Вт (4 Ом)</t>
  </si>
  <si>
    <t>4 Ом 8 Ом 16 Ом</t>
  </si>
  <si>
    <t>Частотный диапазон:</t>
  </si>
  <si>
    <t>Эквалайзер общий:</t>
  </si>
  <si>
    <t xml:space="preserve">11-ти полосный </t>
  </si>
  <si>
    <t>Моно дорожка:</t>
  </si>
  <si>
    <t>4х полосная эквализация</t>
  </si>
  <si>
    <t>Стерео дорожки:</t>
  </si>
  <si>
    <t>3х полосная эквализация</t>
  </si>
  <si>
    <t>USB, звуковая карта:</t>
  </si>
  <si>
    <t>Есть</t>
  </si>
  <si>
    <t>фейдеррегулятор:</t>
  </si>
  <si>
    <t xml:space="preserve">FX 1 FX 2 AUX 1 AUX 2 </t>
  </si>
  <si>
    <t>MON1 MON 2 МАСТЕР СТЕРЕО</t>
  </si>
  <si>
    <t>Аудио интерфейс:</t>
  </si>
  <si>
    <t>USB 2.0</t>
  </si>
  <si>
    <t>Фантомное питание:</t>
  </si>
  <si>
    <t>+48 В</t>
  </si>
  <si>
    <t>Эффекты:</t>
  </si>
  <si>
    <t>Отношение сигнал/шум:</t>
  </si>
  <si>
    <t>&gt;105 дБ</t>
  </si>
  <si>
    <t>КНИ:</t>
  </si>
  <si>
    <t>&lt;0,01%</t>
  </si>
  <si>
    <t>Размеры:</t>
  </si>
  <si>
    <t>454х504х165 мм</t>
  </si>
  <si>
    <t xml:space="preserve">Вес: </t>
  </si>
  <si>
    <t xml:space="preserve">Гарантийный срок: </t>
  </si>
  <si>
    <t>12 месяцев</t>
  </si>
  <si>
    <t>2x700 Bт (8 Ом)</t>
  </si>
  <si>
    <t>2x1400 Bт (4 Ом)</t>
  </si>
  <si>
    <t>510х500х150 мм</t>
  </si>
  <si>
    <t>2х1000 Вт (8 Ом)</t>
  </si>
  <si>
    <t>2х2000 Вт (4 Ом)</t>
  </si>
  <si>
    <t>12 моно 4 стерео</t>
  </si>
  <si>
    <t>2x500 Bт (8 Ом)</t>
  </si>
  <si>
    <t>2x1000 Bт (4 Ом)</t>
  </si>
  <si>
    <t>160х660х500 мм</t>
  </si>
  <si>
    <t>2x700 Вт (8 Ом)</t>
  </si>
  <si>
    <t>2x1400 Вт (4 Ом)</t>
  </si>
  <si>
    <t>665х500х150 мм</t>
  </si>
  <si>
    <t>2x1000 Вт (8 Ом)</t>
  </si>
  <si>
    <t>2x2000 Вт (4 Ом)</t>
  </si>
  <si>
    <t>2x1200 Вт (8 Ом)</t>
  </si>
  <si>
    <t>2x2400 Вт (4 Ом)</t>
  </si>
  <si>
    <t>есть</t>
  </si>
  <si>
    <t>4 моно 2 стерео</t>
  </si>
  <si>
    <t>Канал EQ:</t>
  </si>
  <si>
    <t xml:space="preserve">3-полосный  </t>
  </si>
  <si>
    <t>MIC</t>
  </si>
  <si>
    <t>AUX выход:</t>
  </si>
  <si>
    <t>Потребляемая мощность:</t>
  </si>
  <si>
    <t>9-ти полосный эквалайзер</t>
  </si>
  <si>
    <t>Bluetooth:</t>
  </si>
  <si>
    <t>USB:</t>
  </si>
  <si>
    <t>2х99 DSP</t>
  </si>
  <si>
    <t>440х425х110 мм</t>
  </si>
  <si>
    <t>3-полосный</t>
  </si>
  <si>
    <t>2х175 Вт (8 Ом)</t>
  </si>
  <si>
    <t>2х350 Вт (4 Ом)</t>
  </si>
  <si>
    <t>2*99 DSP</t>
  </si>
  <si>
    <t xml:space="preserve"> 440х425х160 мм</t>
  </si>
  <si>
    <t>2x250 Bт (8 Ом)</t>
  </si>
  <si>
    <t>2х500 Вт (4 Ом)</t>
  </si>
  <si>
    <t>2x350Вт (8 Ом)</t>
  </si>
  <si>
    <t>2х700 Вт (4 Ом)</t>
  </si>
  <si>
    <t>8 моно 2 стерео</t>
  </si>
  <si>
    <t>45 Вт</t>
  </si>
  <si>
    <t>490х425х110 мм</t>
  </si>
  <si>
    <t>490х425х160 мм</t>
  </si>
  <si>
    <t>2x350 Bт (8 Ом)</t>
  </si>
  <si>
    <t>12 моно 2 стерео</t>
  </si>
  <si>
    <t>55 Вт</t>
  </si>
  <si>
    <t>540х425х110 мм</t>
  </si>
  <si>
    <t>Группа баз:</t>
  </si>
  <si>
    <t>2 стерео</t>
  </si>
  <si>
    <t>540х425х160 мм</t>
  </si>
  <si>
    <t>2x225 Bт (8 Ом)</t>
  </si>
  <si>
    <t>2х450 Вт (4 Ом)</t>
  </si>
  <si>
    <t>2x325Вт (8 Ом)</t>
  </si>
  <si>
    <t>2х650 Вт (4 Ом)</t>
  </si>
  <si>
    <t>6 моно</t>
  </si>
  <si>
    <t>2х150 Вт (8 Ом)</t>
  </si>
  <si>
    <t>2х300 Вт (4 Ом)</t>
  </si>
  <si>
    <t>7-ми полосный эквалайзер</t>
  </si>
  <si>
    <t>16 &amp; 24 DSP</t>
  </si>
  <si>
    <t>360х435х160 мм</t>
  </si>
  <si>
    <t>8 моно</t>
  </si>
  <si>
    <t>415х435х110 мм</t>
  </si>
  <si>
    <t>12 моно</t>
  </si>
  <si>
    <t>2х140 Вт (8 Ом)</t>
  </si>
  <si>
    <t>2х280 Вт (4 Ом)</t>
  </si>
  <si>
    <t>470х435х160 мм</t>
  </si>
  <si>
    <t>470х435х110 мм</t>
  </si>
  <si>
    <t>16 моно</t>
  </si>
  <si>
    <t>525х435х160 мм</t>
  </si>
  <si>
    <t>2 моно 2 стерео</t>
  </si>
  <si>
    <t>30 Вт</t>
  </si>
  <si>
    <t>2х полосная эквализация</t>
  </si>
  <si>
    <t>330х380х110 мм</t>
  </si>
  <si>
    <t>360х380х110 мм</t>
  </si>
  <si>
    <t>405х380х110 мм</t>
  </si>
  <si>
    <t>4 моно</t>
  </si>
  <si>
    <t>2х85 Вт (8 Ом)</t>
  </si>
  <si>
    <t>2х170 Вт (4 Ом)</t>
  </si>
  <si>
    <t>300х380х160 мм</t>
  </si>
  <si>
    <t>3-полосная эквализация</t>
  </si>
  <si>
    <t xml:space="preserve"> 16 &amp; 24 DSP</t>
  </si>
  <si>
    <t>330х380х160 мм</t>
  </si>
  <si>
    <t>360х380х160 мм</t>
  </si>
  <si>
    <t>4-полосный</t>
  </si>
  <si>
    <t>50 Вт</t>
  </si>
  <si>
    <t>3 AUX шины</t>
  </si>
  <si>
    <t>720х335х150 мм</t>
  </si>
  <si>
    <t>24 моно</t>
  </si>
  <si>
    <t>75 Вт</t>
  </si>
  <si>
    <t>860х335х150 мм</t>
  </si>
  <si>
    <t>32 моно</t>
  </si>
  <si>
    <t>100 Вт</t>
  </si>
  <si>
    <t>940х335х150 мм</t>
  </si>
  <si>
    <t>36 Вт</t>
  </si>
  <si>
    <t>330х390х101 мм</t>
  </si>
  <si>
    <t>4,8 кг</t>
  </si>
  <si>
    <t>387х390х101 мм</t>
  </si>
  <si>
    <t>495х390х101 мм</t>
  </si>
  <si>
    <t>613х390х101 мм</t>
  </si>
  <si>
    <t xml:space="preserve">2х180 Вт (8 Ом) / 2х250 Вт (4 Ом) </t>
  </si>
  <si>
    <t>497х195х150 мм</t>
  </si>
  <si>
    <t>2х230 Вт (8 Ом) / 2х450 Вт (4 Ом)</t>
  </si>
  <si>
    <t>617х195х150 мм</t>
  </si>
  <si>
    <t>MCF G10(1000W) Микшерный пульт активный</t>
  </si>
  <si>
    <t>MCF G10(1400W) Микшерный пульт активный</t>
  </si>
  <si>
    <t>Два процессора эффектов 24/48-бит; 100 заводских; 20 пользовательских эффектов</t>
  </si>
  <si>
    <t>MCF G10(2000W) Микшерный пульт активный</t>
  </si>
  <si>
    <t>MCF G16(1000W) Микшерный пульт активный</t>
  </si>
  <si>
    <t>MCF G16(1400W) Микшерный пульт активный</t>
  </si>
  <si>
    <t>2x120 DSP; Два процессора эффектов 24/48-бит; 100 заводских; 20 пользовательских эффектов</t>
  </si>
  <si>
    <t>MCF G16(2000W) Микшерный пульт активный</t>
  </si>
  <si>
    <t>MCF G16(2400W) Микшерный пульт активный</t>
  </si>
  <si>
    <t>Два процессора эффектов 24/48-бит; 100 заводских;20 пользовательских эффектов</t>
  </si>
  <si>
    <t>MCF AM-GM8 Микшерный пульт пассивный</t>
  </si>
  <si>
    <t>MCF AM-GM8P(500W) Микшерный пульт активный</t>
  </si>
  <si>
    <t>MCF AM-GM8P(700W) Микшерный пульт активный</t>
  </si>
  <si>
    <t>MCF AM-GM12 Микшерный пульт активный</t>
  </si>
  <si>
    <t>MCF AM-GM12P(500W) Микшерный пульт активный</t>
  </si>
  <si>
    <t>MCF AM-GM12P(700W) Микшерный пульт активный</t>
  </si>
  <si>
    <t>MCF AM-GM16 Микшерный пульт пассивный</t>
  </si>
  <si>
    <t>MCF AM-GM16P(350W) Микшерный пульт активный</t>
  </si>
  <si>
    <t>MCF AM-GM16P(450W) Микшерный пульт активный</t>
  </si>
  <si>
    <t>MCF AM-GM16P(650W) Микшерный пульт активный</t>
  </si>
  <si>
    <t>MCF AM-LS6 (300W) Микшерный пульт активный</t>
  </si>
  <si>
    <t>MCF AM-LS6(500W) Микшерный пульт активный</t>
  </si>
  <si>
    <t>MCF AM-LS8 (300W) Микшерный пульт активный</t>
  </si>
  <si>
    <t>MCF AM-LS8 (500W) Микшерный пульт активный</t>
  </si>
  <si>
    <t>MCF AM-LS12 (280W) Микшерный пульт активный</t>
  </si>
  <si>
    <t>MCF AM-LS12 (500W) Микшерный пульт активный</t>
  </si>
  <si>
    <t>MCF AM-LS16 (280W) Микшерный пульт активный</t>
  </si>
  <si>
    <t>MCF AM-LS16 (450W) Микшерный пульт активный</t>
  </si>
  <si>
    <t>MCF AM-MINI 4P Микшерный пульт активный</t>
  </si>
  <si>
    <t>MCF AM-MINI 6P Микшерный пульт активный</t>
  </si>
  <si>
    <t>MCF AM-MINI 8P Микшерный пульт активный</t>
  </si>
  <si>
    <t>MCF AM-MINI 6 Микшерный пульт пассивный</t>
  </si>
  <si>
    <t>MCF AM-MINI 8 Микшерный пульт пассивный</t>
  </si>
  <si>
    <t xml:space="preserve">MCF AM-MINI 12 Микшерный пульт пассивный </t>
  </si>
  <si>
    <t>MCF AM-RS 24 Микшерный пульт пассивный</t>
  </si>
  <si>
    <t>MCF AM-RS 32 Микшерный пульт пассивный</t>
  </si>
  <si>
    <t>MCF PRO-FX 6 Микшерный пульт пассивный</t>
  </si>
  <si>
    <t>MCF PRO-FX 8 Микшерный пульт пассивный</t>
  </si>
  <si>
    <t>MCF PRO-FX 12 Микшерный пульт пассивный</t>
  </si>
  <si>
    <t>Мультикор 12/4</t>
  </si>
  <si>
    <t>12 XLR(f) Input + 4 XLR(m) Return</t>
  </si>
  <si>
    <t>20 м</t>
  </si>
  <si>
    <t>25 м</t>
  </si>
  <si>
    <t>30 м</t>
  </si>
  <si>
    <t>50 м</t>
  </si>
  <si>
    <t>Мультикор 16/4</t>
  </si>
  <si>
    <t>16 XLR(f) Input + 4 XLR(m) Return</t>
  </si>
  <si>
    <t>Мультикор24/4</t>
  </si>
  <si>
    <t>24 XLR(f) Input + 4 XLR(m) Return</t>
  </si>
  <si>
    <t>Мультикор24/8</t>
  </si>
  <si>
    <t>24 XLR(f) Input + 8 XLR(m) Return</t>
  </si>
  <si>
    <t>Мультикор 32/8</t>
  </si>
  <si>
    <t>32 XLR(f) Input + 8 XLR(m) Return</t>
  </si>
  <si>
    <t>MCF F8 (100W)</t>
  </si>
  <si>
    <t>широкополосный</t>
  </si>
  <si>
    <t>Диаметр динамика:</t>
  </si>
  <si>
    <t>8"</t>
  </si>
  <si>
    <t>Номинальное сопротивление:</t>
  </si>
  <si>
    <t>Тип магнита:</t>
  </si>
  <si>
    <t>феромагнит</t>
  </si>
  <si>
    <t>Материал гофры:</t>
  </si>
  <si>
    <t>плотная структурированная целлюлоза</t>
  </si>
  <si>
    <t>Материал корзины:</t>
  </si>
  <si>
    <t>металл</t>
  </si>
  <si>
    <t>Мощность RMS:</t>
  </si>
  <si>
    <t>100Вт</t>
  </si>
  <si>
    <t>Высота динамика:</t>
  </si>
  <si>
    <t>120Гц-5кГц</t>
  </si>
  <si>
    <t>91 dB (1Вт/1 м)</t>
  </si>
  <si>
    <t>MCF F8 (150W)</t>
  </si>
  <si>
    <t>150Вт</t>
  </si>
  <si>
    <t>95 мм</t>
  </si>
  <si>
    <t>90Гц-4кГц</t>
  </si>
  <si>
    <t>MCF N10</t>
  </si>
  <si>
    <t>10"</t>
  </si>
  <si>
    <t>неодим</t>
  </si>
  <si>
    <t>литой аллюминий</t>
  </si>
  <si>
    <t>350Вт</t>
  </si>
  <si>
    <t>80Гц-6кГц</t>
  </si>
  <si>
    <t>96 dB (1Вт/1 м)</t>
  </si>
  <si>
    <t>MCF N10-2</t>
  </si>
  <si>
    <t>низкочастотный</t>
  </si>
  <si>
    <t>500 Вт</t>
  </si>
  <si>
    <t>155 мм</t>
  </si>
  <si>
    <t>70Гц-3кГц</t>
  </si>
  <si>
    <t>MCF F10J</t>
  </si>
  <si>
    <t>200 Вт</t>
  </si>
  <si>
    <t>80Гц-4кГц</t>
  </si>
  <si>
    <t>MCF F-12J</t>
  </si>
  <si>
    <t>12"</t>
  </si>
  <si>
    <t>200Вт</t>
  </si>
  <si>
    <t>124мм</t>
  </si>
  <si>
    <t>80Гц-5кГц</t>
  </si>
  <si>
    <t>MCF N-12L</t>
  </si>
  <si>
    <t>литой алюминий</t>
  </si>
  <si>
    <t>600Вт</t>
  </si>
  <si>
    <t>135 мм</t>
  </si>
  <si>
    <t>54Гц-6кГц</t>
  </si>
  <si>
    <t>MCF F-12L</t>
  </si>
  <si>
    <t>400Вт</t>
  </si>
  <si>
    <t>135мм</t>
  </si>
  <si>
    <t>60Гц-3кГц</t>
  </si>
  <si>
    <t>MCF F-15J</t>
  </si>
  <si>
    <t>15"</t>
  </si>
  <si>
    <t>145мм</t>
  </si>
  <si>
    <t>60Гц-5кГц</t>
  </si>
  <si>
    <t>MCF N-15L</t>
  </si>
  <si>
    <t>169 мм</t>
  </si>
  <si>
    <t>40Гц-6кГц</t>
  </si>
  <si>
    <t>MCF F-15L</t>
  </si>
  <si>
    <t>500Вт</t>
  </si>
  <si>
    <t>157мм</t>
  </si>
  <si>
    <t>45Гц-3кГц</t>
  </si>
  <si>
    <t>163 мм</t>
  </si>
  <si>
    <t>MCF F18 (1200)</t>
  </si>
  <si>
    <t xml:space="preserve">низкочастотный </t>
  </si>
  <si>
    <t>18"</t>
  </si>
  <si>
    <t>ферромагнит</t>
  </si>
  <si>
    <t>1200 Вт</t>
  </si>
  <si>
    <t>Диаметр звуковой катушки:</t>
  </si>
  <si>
    <t>218 мм</t>
  </si>
  <si>
    <t>Рабочий диапазон частот:</t>
  </si>
  <si>
    <t>45-2,2кГц</t>
  </si>
  <si>
    <t>98 дБ (1Вт / 1 м)</t>
  </si>
  <si>
    <t>1000 Вт</t>
  </si>
  <si>
    <t>225 мм</t>
  </si>
  <si>
    <t>35-2кГц</t>
  </si>
  <si>
    <t>97дБ (1Вт / 1 м)</t>
  </si>
  <si>
    <t>800 Вт</t>
  </si>
  <si>
    <t>210 мм</t>
  </si>
  <si>
    <t xml:space="preserve">2 290 </t>
  </si>
  <si>
    <t xml:space="preserve">7 990 </t>
  </si>
  <si>
    <t xml:space="preserve">7 900 </t>
  </si>
  <si>
    <t xml:space="preserve">3 900 </t>
  </si>
  <si>
    <t xml:space="preserve">9 900 </t>
  </si>
  <si>
    <t xml:space="preserve">4 900 </t>
  </si>
  <si>
    <t xml:space="preserve">12 900 </t>
  </si>
  <si>
    <t xml:space="preserve">5 900 </t>
  </si>
  <si>
    <t xml:space="preserve">6 900 </t>
  </si>
  <si>
    <t xml:space="preserve">24 900 </t>
  </si>
  <si>
    <t>Каналы микширования:</t>
  </si>
  <si>
    <t>Частота дискретизации:</t>
  </si>
  <si>
    <t>48 кГц /44.1 кГц</t>
  </si>
  <si>
    <t>Задержка сигнала:</t>
  </si>
  <si>
    <t>Коэффициент нелинейных искажений:</t>
  </si>
  <si>
    <t>Диапазон воспроизводимых частот:</t>
  </si>
  <si>
    <t>20Гц – 20кГц</t>
  </si>
  <si>
    <t>+0.5дБ  -  -1.5дБ</t>
  </si>
  <si>
    <t>Динамический диапазон:</t>
  </si>
  <si>
    <t>110дБ (Гейн:-6дБ)</t>
  </si>
  <si>
    <t>Перекрестные искажения:</t>
  </si>
  <si>
    <t>Требования к питанию:</t>
  </si>
  <si>
    <t>220В-240В 50Гц/60Гц</t>
  </si>
  <si>
    <t>485х44,5х270 мм</t>
  </si>
  <si>
    <t>Вес:</t>
  </si>
  <si>
    <t>Номинальный выходное напряжение:</t>
  </si>
  <si>
    <t>220 В, 50 Гц</t>
  </si>
  <si>
    <t>Номинальный выходной ток:</t>
  </si>
  <si>
    <t>30A</t>
  </si>
  <si>
    <t>Контроль питания:</t>
  </si>
  <si>
    <t>до 8-ми единиц оборудования</t>
  </si>
  <si>
    <t>Время полного запуска:</t>
  </si>
  <si>
    <t>19 секунд</t>
  </si>
  <si>
    <t>Питание:</t>
  </si>
  <si>
    <t>VAC50 / 60Hz 25A</t>
  </si>
  <si>
    <t>Особенности:</t>
  </si>
  <si>
    <t>до 10-ми единиц оборудования</t>
  </si>
  <si>
    <t>Количество итип выходныхрозеток/разъемов</t>
  </si>
  <si>
    <t>10 розеток 16А 220B Schuko:</t>
  </si>
  <si>
    <t>Ввод</t>
  </si>
  <si>
    <t>Вводной кабель</t>
  </si>
  <si>
    <t>5G4, длина 3м</t>
  </si>
  <si>
    <t>Порт</t>
  </si>
  <si>
    <t>USB</t>
  </si>
  <si>
    <t>Материал корпуса</t>
  </si>
  <si>
    <t>Сталь 1,5 мм</t>
  </si>
  <si>
    <t>Окраска</t>
  </si>
  <si>
    <t>полиэфирная порошковая краска матовая, черного цвета</t>
  </si>
  <si>
    <t>Габариты</t>
  </si>
  <si>
    <t>Ш435+ (уши для рэк-шкафа-20*20)хВ47(1U)хГ190</t>
  </si>
  <si>
    <t>Вес</t>
  </si>
  <si>
    <t>3,5 кг</t>
  </si>
  <si>
    <t xml:space="preserve">Модификация: </t>
  </si>
  <si>
    <t>2 входа / 6 выходов</t>
  </si>
  <si>
    <t xml:space="preserve">Сопротивление: </t>
  </si>
  <si>
    <t>&lt;60 Ом</t>
  </si>
  <si>
    <t xml:space="preserve">Частотная характеристика: </t>
  </si>
  <si>
    <t>+-0,5 дБ  20Гц-20кГц</t>
  </si>
  <si>
    <t>Искажение:</t>
  </si>
  <si>
    <t>&lt;0,02% 1кГц, +15дБм</t>
  </si>
  <si>
    <t xml:space="preserve">Максимальная задержка: </t>
  </si>
  <si>
    <t>450,979 мс</t>
  </si>
  <si>
    <t xml:space="preserve">Минимальный шаг: </t>
  </si>
  <si>
    <t>0,021 мс</t>
  </si>
  <si>
    <t>Входное усиление:</t>
  </si>
  <si>
    <t>+6дБ≈-40дБ, 0,1дБ</t>
  </si>
  <si>
    <t xml:space="preserve">Выходное усиление: </t>
  </si>
  <si>
    <t>Параметрический эквалайзер</t>
  </si>
  <si>
    <t xml:space="preserve">Диапазон частот: </t>
  </si>
  <si>
    <t>20Гц-20кГц, 1/36</t>
  </si>
  <si>
    <t>Полоса пропускания фильтра:</t>
  </si>
  <si>
    <t>Q 0,5-128</t>
  </si>
  <si>
    <t xml:space="preserve">Высота: </t>
  </si>
  <si>
    <t>1U</t>
  </si>
  <si>
    <t>Спад частот:</t>
  </si>
  <si>
    <t>12 дБ\окт, 18 дБ\окт, 24 дБ\окт, 48 дБ\окт</t>
  </si>
  <si>
    <t xml:space="preserve">Задержка: </t>
  </si>
  <si>
    <t>входная задержка &lt;682 мс, выходная &lt;21 мс</t>
  </si>
  <si>
    <t xml:space="preserve">Типфильтров: </t>
  </si>
  <si>
    <t>Linkwits-Riley, Bessel, Butterworth</t>
  </si>
  <si>
    <t xml:space="preserve">Параметрический эквалайзер: </t>
  </si>
  <si>
    <t>XLR балансные вход\выход</t>
  </si>
  <si>
    <t xml:space="preserve">Программное обеспечение: </t>
  </si>
  <si>
    <t>PC Control (Windows)</t>
  </si>
  <si>
    <t xml:space="preserve">Входные функции: </t>
  </si>
  <si>
    <t>48В - фантомное питание</t>
  </si>
  <si>
    <t xml:space="preserve">Выходные функции: </t>
  </si>
  <si>
    <t>Управление:</t>
  </si>
  <si>
    <t>LAN кабель</t>
  </si>
  <si>
    <t>порта rs-232</t>
  </si>
  <si>
    <t>Програмирование</t>
  </si>
  <si>
    <t>через систему GPIO и POE</t>
  </si>
  <si>
    <t xml:space="preserve">Управление </t>
  </si>
  <si>
    <t>при помощи PC (USB разъем на передней и задней панелях)</t>
  </si>
  <si>
    <t xml:space="preserve">XLR балансные </t>
  </si>
  <si>
    <t>вход\выход</t>
  </si>
  <si>
    <t>2 входа / 4 выходов</t>
  </si>
  <si>
    <t xml:space="preserve">Минимальная нагрузка:  </t>
  </si>
  <si>
    <t>600 Вт</t>
  </si>
  <si>
    <t xml:space="preserve">Максимальный уровень: </t>
  </si>
  <si>
    <t>+15 дБм</t>
  </si>
  <si>
    <t>Минимальный шаг:</t>
  </si>
  <si>
    <t xml:space="preserve">Входное усиление: </t>
  </si>
  <si>
    <t>9-полосный входной,8-полосный выходной</t>
  </si>
  <si>
    <t>Процессор MCF IAP-8000</t>
  </si>
  <si>
    <t>входные шины: 8 моно выходные шины: 12 моно</t>
  </si>
  <si>
    <t>100 дБ</t>
  </si>
  <si>
    <t>&lt;2.5мс (АЦ-ЦА @48кГц); Менее 0.05% (+4dBu, -6дБ); Менее 0.1% (+4dBu, +66дБ)</t>
  </si>
  <si>
    <t>Сетевой контроллер  MCF PSC-900</t>
  </si>
  <si>
    <t>Каждый выход оснащен индикатором; Управление питанием при помощи ключа</t>
  </si>
  <si>
    <t>Сетевой контроллер MCF PSC-950</t>
  </si>
  <si>
    <t>Каждый выход оснащен индикатором</t>
  </si>
  <si>
    <t>Сетевой контроллер MCFMR-100I</t>
  </si>
  <si>
    <t>Дистрибьютор питания рэковый MCFVG-2008</t>
  </si>
  <si>
    <t>2 розетка на лицевой панели (независимые); 8 розеток на тыльной панели; Вилка 16-32А</t>
  </si>
  <si>
    <t>Минимальная нагрузка:</t>
  </si>
  <si>
    <t>Максимальный уровень</t>
  </si>
  <si>
    <t xml:space="preserve"> +15 дБм</t>
  </si>
  <si>
    <t>9-полосный входной; 8-полосный выходной</t>
  </si>
  <si>
    <t>Процессор MCF DSP-2060</t>
  </si>
  <si>
    <t>Процессор MCF DSP-3060</t>
  </si>
  <si>
    <t>3 входа / 6 выходов; Выходы, назначаемые на любой вход; DSP Управление на передней панели</t>
  </si>
  <si>
    <t>от 1\64 до 4 октав; Лимитер на каждом выходе; Управление при помощи PC (USB разъем на передней и задней панелях)</t>
  </si>
  <si>
    <t>Процессор MCF DSP-8800</t>
  </si>
  <si>
    <t>8 входов (mic\line) \ 8 выходов; функция предусиления, генератор шума, экспандер, компрессор-лимитер, эквалайзер (5 полос), функция автоматического контроля сигнала, автоматическое подавление шума</t>
  </si>
  <si>
    <t>параметрический эквалайзер (8 полос), задержка, фазировка канала, кроссовер, фильтр, компрессор-лимитер; 24 битное конвертирование каналов (A\D, D\A); 64 битный высокоскоростной процессор</t>
  </si>
  <si>
    <t>2 входа / 6 выходов; Выходы, назначаемые на любой вход</t>
  </si>
  <si>
    <t>входная задержка; &lt;682 мс, выходная; &lt;21 мс</t>
  </si>
  <si>
    <t>от 1\64 до 4 октав; Лимитер на каждом выходе</t>
  </si>
  <si>
    <t>Процессор MCF DSP-2600</t>
  </si>
  <si>
    <t>4 входа / 8 выходов; Выходы, назначаемые на любой вход</t>
  </si>
  <si>
    <t>Процессор MCF DSP-4800</t>
  </si>
  <si>
    <t>Процессор MCF DSP-4080</t>
  </si>
  <si>
    <t>4 входа / 8 выходов; Выходы, назначаемые на любой вход; DSP Управление на передней панели</t>
  </si>
  <si>
    <t>Процессор MCF DSP-2040</t>
  </si>
  <si>
    <t xml:space="preserve">49 900 </t>
  </si>
  <si>
    <t xml:space="preserve">129 900 </t>
  </si>
  <si>
    <t xml:space="preserve">29 900 </t>
  </si>
  <si>
    <t xml:space="preserve">39 900 </t>
  </si>
  <si>
    <t>MCF LS-901 бел</t>
  </si>
  <si>
    <t>Воспроизводимая частота:</t>
  </si>
  <si>
    <t>85 Гц - 16 кГц</t>
  </si>
  <si>
    <t>Номинальная мощность:</t>
  </si>
  <si>
    <t>3 Вт</t>
  </si>
  <si>
    <t>Максимальная мощность:</t>
  </si>
  <si>
    <t>6 Вт</t>
  </si>
  <si>
    <t>Динамик С.Ч.:</t>
  </si>
  <si>
    <t>120 мм</t>
  </si>
  <si>
    <t>91 дБ (1 Вт / 1 м)</t>
  </si>
  <si>
    <t>ø180x708 мм</t>
  </si>
  <si>
    <t>3,0 кг</t>
  </si>
  <si>
    <t>90 Гц - 16 кГц</t>
  </si>
  <si>
    <t>5 Вт</t>
  </si>
  <si>
    <t>10 Вт</t>
  </si>
  <si>
    <t>Ø200x520 мм</t>
  </si>
  <si>
    <t>2,8 кг</t>
  </si>
  <si>
    <t>166 мм</t>
  </si>
  <si>
    <t>Динамик В.Ч.:</t>
  </si>
  <si>
    <t>12 мм</t>
  </si>
  <si>
    <t>Ø210x738 мм</t>
  </si>
  <si>
    <t>100 Гц - 20 кГц</t>
  </si>
  <si>
    <t>92 дБ (1 Вт / 1 м)</t>
  </si>
  <si>
    <t>Ø180x63 мм</t>
  </si>
  <si>
    <t>0,50 кг</t>
  </si>
  <si>
    <t>Ø185x63 мм</t>
  </si>
  <si>
    <t>0,70 кг</t>
  </si>
  <si>
    <t>50 Гц - 16 кГц (± 2 дБ)</t>
  </si>
  <si>
    <t>&gt;80 дБ</t>
  </si>
  <si>
    <t>Поддержка USB:</t>
  </si>
  <si>
    <t>8 Гб USB Drive</t>
  </si>
  <si>
    <t>MCF CR 50W</t>
  </si>
  <si>
    <t>90 Гц - 20 кГц</t>
  </si>
  <si>
    <t>Напряжение:</t>
  </si>
  <si>
    <t>100 В</t>
  </si>
  <si>
    <t>Мощность на 100 В:</t>
  </si>
  <si>
    <t>102 дБ (1 Вт / 1 м)</t>
  </si>
  <si>
    <t>363x255x310 мм</t>
  </si>
  <si>
    <t>20 Вт</t>
  </si>
  <si>
    <t>Динамик:</t>
  </si>
  <si>
    <t>5”</t>
  </si>
  <si>
    <t>Максимальное звуковое давление:</t>
  </si>
  <si>
    <t>155x118x365 мм</t>
  </si>
  <si>
    <t>2,27 кг</t>
  </si>
  <si>
    <t>2х5”</t>
  </si>
  <si>
    <t>155x118x495 мм</t>
  </si>
  <si>
    <t>3,12 кг</t>
  </si>
  <si>
    <t>3х5”</t>
  </si>
  <si>
    <t>155x118x605 мм</t>
  </si>
  <si>
    <t>4,13 кг</t>
  </si>
  <si>
    <t>4х5”</t>
  </si>
  <si>
    <t>155x118x735 мм</t>
  </si>
  <si>
    <t>5,07 кг</t>
  </si>
  <si>
    <t>80 Гц - 16 кГц</t>
  </si>
  <si>
    <t>4”</t>
  </si>
  <si>
    <t>130x125x340 мм</t>
  </si>
  <si>
    <t>2х4”</t>
  </si>
  <si>
    <t>130x125x460 мм</t>
  </si>
  <si>
    <t>3х4”</t>
  </si>
  <si>
    <t>130x125x580 мм</t>
  </si>
  <si>
    <t>4х4”</t>
  </si>
  <si>
    <t>130x125x700 мм</t>
  </si>
  <si>
    <t>6”</t>
  </si>
  <si>
    <t>225x120x500 мм</t>
  </si>
  <si>
    <t>2,80 кг</t>
  </si>
  <si>
    <t>90 Вт</t>
  </si>
  <si>
    <t>2х6”</t>
  </si>
  <si>
    <t>225x120x740 мм</t>
  </si>
  <si>
    <t>4,00 кг</t>
  </si>
  <si>
    <t>120 Вт</t>
  </si>
  <si>
    <t>3х6”</t>
  </si>
  <si>
    <t>225x120x950 мм</t>
  </si>
  <si>
    <t>5,20 кг</t>
  </si>
  <si>
    <t>150 Вт</t>
  </si>
  <si>
    <t>4х6”</t>
  </si>
  <si>
    <t>225x120x1170 мм</t>
  </si>
  <si>
    <t>6,40 кг</t>
  </si>
  <si>
    <t>180 Вт</t>
  </si>
  <si>
    <t>5х6”</t>
  </si>
  <si>
    <t>225x120x1385 мм</t>
  </si>
  <si>
    <t>7,60 кг</t>
  </si>
  <si>
    <t>60 Гц - 20 кГц</t>
  </si>
  <si>
    <t>223x144x140 мм</t>
  </si>
  <si>
    <t>1,40 кг</t>
  </si>
  <si>
    <t>70 Вт</t>
  </si>
  <si>
    <t>140 Вт</t>
  </si>
  <si>
    <t>228x156x140 мм</t>
  </si>
  <si>
    <t>1,70 кг</t>
  </si>
  <si>
    <t>233x168x140 мм</t>
  </si>
  <si>
    <t>2,00 кг</t>
  </si>
  <si>
    <t>Пять</t>
  </si>
  <si>
    <t>Автоматический вентилятор – вкл. &gt;55°С</t>
  </si>
  <si>
    <t>Высокая температура, перегрузка и замыкание</t>
  </si>
  <si>
    <t>230 Вт</t>
  </si>
  <si>
    <t>484x385x90 мм</t>
  </si>
  <si>
    <t>290 Вт</t>
  </si>
  <si>
    <t>240 Вт</t>
  </si>
  <si>
    <t>350 Вт</t>
  </si>
  <si>
    <t>300 Вт</t>
  </si>
  <si>
    <t>410 Вт</t>
  </si>
  <si>
    <t>360 Вт</t>
  </si>
  <si>
    <t>470 Вт</t>
  </si>
  <si>
    <t>480 Вт</t>
  </si>
  <si>
    <t>590 Вт</t>
  </si>
  <si>
    <t>650 Вт</t>
  </si>
  <si>
    <t>760 Вт</t>
  </si>
  <si>
    <t>100 Гц - 16 кГц</t>
  </si>
  <si>
    <t>XLR-f</t>
  </si>
  <si>
    <t>Конденсаторный</t>
  </si>
  <si>
    <t>-40 дБ +-2 дБ</t>
  </si>
  <si>
    <t>MCFLS-901чер Селекторная акустическая система</t>
  </si>
  <si>
    <t>MCF LS-902 Селекторная акустическая система</t>
  </si>
  <si>
    <t>MCF LS-904 Селекторная акустическая система</t>
  </si>
  <si>
    <t>MCFC-3W Селекторная акустическая система</t>
  </si>
  <si>
    <t>MCFC-6W Селекторная акустическая система</t>
  </si>
  <si>
    <t>MCF USB 60A Селекторный усилитель</t>
  </si>
  <si>
    <t>MCFCF-20E Широкополосная селекторная акустическая система</t>
  </si>
  <si>
    <t>MCFCF-30E Широкополосная селекторная акустическая система</t>
  </si>
  <si>
    <t>MCFCF-50E Широкополосная селекторная акустическая система</t>
  </si>
  <si>
    <t>MCFCF-20J Широкополосная селекторная акустическая система</t>
  </si>
  <si>
    <t>MCFCF-30J Широкополосная селекторная акустическая система</t>
  </si>
  <si>
    <t>MCFCF-40J Широкополосная селекторная акустическая система</t>
  </si>
  <si>
    <t>MCFCF-50J Широкополосная селекторная акустическая система</t>
  </si>
  <si>
    <t>MCFCF-40F Широкополосная селекторная акустическая система</t>
  </si>
  <si>
    <t>MCFCF-60F Широкополосная селекторная акустическая система</t>
  </si>
  <si>
    <t>MCFCF-80F Широкополосная селекторная акустическая система</t>
  </si>
  <si>
    <t>MCFCF-100F Широкополосная селекторная акустическая система</t>
  </si>
  <si>
    <t>MCFCF-120F Широкополосная селекторная акустическая система</t>
  </si>
  <si>
    <t>MCFCF-4J Двухполосная селекторная акустическая система</t>
  </si>
  <si>
    <t>MCFCF-5J Двухполосная селекторная акустическая система</t>
  </si>
  <si>
    <t>MCFCF-6J Двухполосная селекторная акустическая система</t>
  </si>
  <si>
    <t>MCF DS6120 USB Селекторный усилитель</t>
  </si>
  <si>
    <t>MCF DS6180 USB Селекторный усилитель</t>
  </si>
  <si>
    <t>MCF DS 6240 USB Селекторный усилитель</t>
  </si>
  <si>
    <t>MCFDS 6300 USB Селекторный усилитель</t>
  </si>
  <si>
    <t>MCF DS 6360 USB Селекторный усилитель</t>
  </si>
  <si>
    <t>MCF DS6480 USB Селекторный усилитель</t>
  </si>
  <si>
    <t>MCF DS 6650 USB Селекторный усилитель</t>
  </si>
  <si>
    <t>MCF DS8120 USB Селекторный усилитель</t>
  </si>
  <si>
    <t>MCF DS8180 USB Селекторный усилитель</t>
  </si>
  <si>
    <t>MCF DS 8240 USB Селекторный усилитель</t>
  </si>
  <si>
    <t>MCF DS 8300 USB Селекторный усилитель</t>
  </si>
  <si>
    <t>MCF DS 8360 USB Селекторный усилитель</t>
  </si>
  <si>
    <t>MCFDS8480 USB Селекторный усилитель</t>
  </si>
  <si>
    <t>MCF DS 8650 USB Селекторный усилитель</t>
  </si>
  <si>
    <t>MCF CH 380 конференц микрофон</t>
  </si>
  <si>
    <t>ID</t>
  </si>
  <si>
    <t>35 мм     1.5"</t>
  </si>
  <si>
    <t>65.5мм      2.5"</t>
  </si>
  <si>
    <t>75.5 мм   3"</t>
  </si>
  <si>
    <t>51.1 мм   2"</t>
  </si>
  <si>
    <t>51.1мм    2"</t>
  </si>
  <si>
    <t>75.5 мм    3"</t>
  </si>
  <si>
    <t>75.5мм    3"</t>
  </si>
  <si>
    <t>65.5мм    2"</t>
  </si>
  <si>
    <t>65.5 мм    2.5"</t>
  </si>
  <si>
    <t>99.5мм   4"</t>
  </si>
  <si>
    <t>93.9 dB (1Вт/1 м)</t>
  </si>
  <si>
    <t>94.1dB (1Вт/1 м)</t>
  </si>
  <si>
    <t>91.8 дБ(1Вт / 1 м)</t>
  </si>
  <si>
    <t>94.9dB (1Вт/1 м)</t>
  </si>
  <si>
    <t>95.1dB (1Вт/1 м)</t>
  </si>
  <si>
    <t>92.7дБ (1Вт / 1 м)</t>
  </si>
  <si>
    <t>97.5dB (1Вт/1 м)</t>
  </si>
  <si>
    <t>95.6дБ (1Вт / 1 м)</t>
  </si>
  <si>
    <t>96.4дБ (1Вт / 1 м)</t>
  </si>
  <si>
    <t>MCFCF-40E Широкополосная селекторная акустическая система</t>
  </si>
  <si>
    <t>7.9 кг</t>
  </si>
  <si>
    <t>8.2 кг</t>
  </si>
  <si>
    <t>8.5 кг</t>
  </si>
  <si>
    <t>8.9 кг</t>
  </si>
  <si>
    <t>9.3 кг</t>
  </si>
  <si>
    <t>9.8 кг</t>
  </si>
  <si>
    <t>10.2 кг</t>
  </si>
  <si>
    <t>4.0”</t>
  </si>
  <si>
    <t>5.0”</t>
  </si>
  <si>
    <t>4.5”</t>
  </si>
  <si>
    <t>Высокая температура. перегрузка и короткое замыкание</t>
  </si>
  <si>
    <t>3.0 кг</t>
  </si>
  <si>
    <t>91 дБ (2.83 Вт / 1 м)</t>
  </si>
  <si>
    <t>89 дБ (2.83 Вт / 1 м)</t>
  </si>
  <si>
    <t>50 Гц - 16 кГц (± 0.3 дБ)</t>
  </si>
  <si>
    <t xml:space="preserve">2 900 </t>
  </si>
  <si>
    <t xml:space="preserve">1 900 </t>
  </si>
  <si>
    <t xml:space="preserve">11 900 </t>
  </si>
  <si>
    <t xml:space="preserve">13 900 </t>
  </si>
  <si>
    <t xml:space="preserve">10 900 </t>
  </si>
  <si>
    <t xml:space="preserve">14 900 </t>
  </si>
  <si>
    <t xml:space="preserve">19 900 </t>
  </si>
  <si>
    <t xml:space="preserve">22 900 </t>
  </si>
  <si>
    <t xml:space="preserve">27 900 </t>
  </si>
  <si>
    <t xml:space="preserve">17 900 </t>
  </si>
  <si>
    <t xml:space="preserve">25 900 </t>
  </si>
  <si>
    <t xml:space="preserve">30 900 </t>
  </si>
  <si>
    <t xml:space="preserve">32 900 </t>
  </si>
  <si>
    <t xml:space="preserve">Материал: </t>
  </si>
  <si>
    <t>сталь</t>
  </si>
  <si>
    <t>1.3 м</t>
  </si>
  <si>
    <t>телескопическая система выдвижения</t>
  </si>
  <si>
    <t xml:space="preserve">В комплекте: </t>
  </si>
  <si>
    <t>Цвет:</t>
  </si>
  <si>
    <t>черный</t>
  </si>
  <si>
    <t>хром</t>
  </si>
  <si>
    <t>1.45 м</t>
  </si>
  <si>
    <t>алюминиевый сплав</t>
  </si>
  <si>
    <t>2 м</t>
  </si>
  <si>
    <t>резиновые наконечники на треноги.</t>
  </si>
  <si>
    <t>id:</t>
  </si>
  <si>
    <t>Модель:</t>
  </si>
  <si>
    <t>Цена:</t>
  </si>
  <si>
    <t>Примечание:</t>
  </si>
  <si>
    <t>Максимальная нагрузка:</t>
  </si>
  <si>
    <t>Стойка микрофонная. тип «Журавль». MCF IP-70B</t>
  </si>
  <si>
    <t>телескопическая система выдвижения. держатель микрофонный. фиксатор для провода. регулируемое крепление вертикальной и горизонтальной штанги. резиновые наконечники на треноги. держатель для планшета. держатель для телефона. система амортизации треноги.</t>
  </si>
  <si>
    <t>Стойка микрофонная. тип «Журавль». MCF MS-63</t>
  </si>
  <si>
    <t>телескопическая система выдвижения горизонтальной и вертикальной штанги. держатель микрофонный. фиксатор для провода. регулируемое крепление вертикальной и горизонтальной штанги. резиновые наконечники на треноги. система амортизации треноги. дополнительное телескопическое выдвижение у горизонтальной штанги.</t>
  </si>
  <si>
    <t>Стойка микрофонная. тип «Журавль». MCF MS-70B</t>
  </si>
  <si>
    <t>телескопическая система выдвижения. 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держателя.</t>
  </si>
  <si>
    <t>Стойка микрофонная. тип «Журавль». MCF MS-15S</t>
  </si>
  <si>
    <t>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</t>
  </si>
  <si>
    <t>Стойка микрофонная. тип «Журавль». MCF MS-87</t>
  </si>
  <si>
    <t>держатель микрофонный. фиксатор для провода. регулируемое крепление вертикальной и горизонтальной штанги. дисковое основание.</t>
  </si>
  <si>
    <t>телескопическая система выдвижения. пружинная система ручного подъема</t>
  </si>
  <si>
    <t>Стойка микрофонная. тип «Журавль». MCF MS-69B</t>
  </si>
  <si>
    <t>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держателя.</t>
  </si>
  <si>
    <t>Стойка микрофонная. тип «Журавль». MCF MSA-883</t>
  </si>
  <si>
    <t>2 микрофонных держателя. фиксатор для провода. регулируемое крепление вертикальной и горизонтальной штанги. резиновые наконечники на треноги.</t>
  </si>
  <si>
    <t>Стойка для акустической системы MCF SP-19A</t>
  </si>
  <si>
    <t>Стойка для акустической системы MCF SP-88S</t>
  </si>
  <si>
    <t>1.9 м</t>
  </si>
  <si>
    <t>Стойка для акустической системы MCF SP-19S</t>
  </si>
  <si>
    <t>Держатель для микрофона MCF M-4</t>
  </si>
  <si>
    <t>Микрофонная стойка настольная MCF MS-21S</t>
  </si>
  <si>
    <t>0.36 м</t>
  </si>
  <si>
    <t>система телескопического выдвижения, дисковая основа, штанга микрофонная</t>
  </si>
  <si>
    <t>Микрофонная стойка настольная MCF MS-12</t>
  </si>
  <si>
    <t>0.3 м</t>
  </si>
  <si>
    <t xml:space="preserve">Тип акустической системы: </t>
  </si>
  <si>
    <t>60 Вт (ВЧ) + 70 Вт (НЧ)</t>
  </si>
  <si>
    <t>38 Гц - 22 кГц</t>
  </si>
  <si>
    <t>Входное сопротивление:</t>
  </si>
  <si>
    <t>20 кОм</t>
  </si>
  <si>
    <t>Частота кроссовера:</t>
  </si>
  <si>
    <t>Входные разъемы:</t>
  </si>
  <si>
    <t>XLR, ¼"TRS</t>
  </si>
  <si>
    <t>МДФ</t>
  </si>
  <si>
    <t>381х254х305 мм</t>
  </si>
  <si>
    <t>40 Вт (ВЧ) + 60 Вт (НЧ)</t>
  </si>
  <si>
    <t>45 Гц - 22 кГц</t>
  </si>
  <si>
    <t>318х213х249 мм</t>
  </si>
  <si>
    <t>30 Вт (ВЧ) + 50 Вт (НЧ)</t>
  </si>
  <si>
    <t>56 Гц - 22 кГц</t>
  </si>
  <si>
    <t>250х176х200 мм</t>
  </si>
  <si>
    <t>MCF BX8 D2</t>
  </si>
  <si>
    <t>Винил-ламинированная МДФ</t>
  </si>
  <si>
    <t>MCF BX5 D2</t>
  </si>
  <si>
    <t>30 Вт (ВЧ) + 40 Вт (НЧ)</t>
  </si>
  <si>
    <t>3 кГц</t>
  </si>
  <si>
    <t>195х176х252 мм</t>
  </si>
  <si>
    <t>MCF BX8A</t>
  </si>
  <si>
    <t>MCF BX5A</t>
  </si>
  <si>
    <t>MCF C8</t>
  </si>
  <si>
    <t>37 Гц - 45 кГц</t>
  </si>
  <si>
    <t>MCF C6</t>
  </si>
  <si>
    <t>40 Гц - 45 кГц</t>
  </si>
  <si>
    <t>MCF C5</t>
  </si>
  <si>
    <t>45 Гц - 45 кГц</t>
  </si>
  <si>
    <t>2.8 кГц</t>
  </si>
  <si>
    <t>MCF G8</t>
  </si>
  <si>
    <t>37 Гц - 55 кГц</t>
  </si>
  <si>
    <t>250х300х410 мм</t>
  </si>
  <si>
    <t>MCF G6</t>
  </si>
  <si>
    <t>45 Гц - 55 кГц</t>
  </si>
  <si>
    <t>220х260х370 мм</t>
  </si>
  <si>
    <t>MCF G5</t>
  </si>
  <si>
    <t>43 Гц - 55 кГц</t>
  </si>
  <si>
    <t>175х200х338 мм</t>
  </si>
  <si>
    <t>MCF M8</t>
  </si>
  <si>
    <t>38 Гц - 30 кГц</t>
  </si>
  <si>
    <t>MCF M6</t>
  </si>
  <si>
    <t>45 Гц - 35 кГц</t>
  </si>
  <si>
    <t>MCF M5</t>
  </si>
  <si>
    <t>56 Гц - 38 кГц</t>
  </si>
  <si>
    <t>MCF E66</t>
  </si>
  <si>
    <t>65 Вт (ВЧ) + 80 Вт (НЧ)</t>
  </si>
  <si>
    <t>Звуковое давление:</t>
  </si>
  <si>
    <t>XLR, ¼"TRS, RCA</t>
  </si>
  <si>
    <t>250х460х215 мм</t>
  </si>
  <si>
    <t>MCF E44</t>
  </si>
  <si>
    <t>35 Вт (ВЧ) + 50 Вт (НЧ)</t>
  </si>
  <si>
    <t>103 дБ</t>
  </si>
  <si>
    <t>55 Гц - 22 кГц</t>
  </si>
  <si>
    <t>180х365х180 мм</t>
  </si>
  <si>
    <t>MCF T12</t>
  </si>
  <si>
    <t>170 Вт (250 Вт в пике)</t>
  </si>
  <si>
    <t>&gt; 98 дБ (A - взвешенное)</t>
  </si>
  <si>
    <t>120 дБ</t>
  </si>
  <si>
    <t>20 Гц - 200 Гц</t>
  </si>
  <si>
    <t>Регулировка кроссовера:</t>
  </si>
  <si>
    <t>50 - 130 Гц</t>
  </si>
  <si>
    <t>Регулятор чувствительности входа:</t>
  </si>
  <si>
    <t>-30…+6дБ</t>
  </si>
  <si>
    <t>Фильтр нижних частот:</t>
  </si>
  <si>
    <t>80 Гц, отключаемый</t>
  </si>
  <si>
    <t>2 х XLR, 2 х ТRS, 2 х RCA</t>
  </si>
  <si>
    <t>Выходные разъемы:</t>
  </si>
  <si>
    <t>3 х XLR, 2 х ТRS</t>
  </si>
  <si>
    <t>Фанера</t>
  </si>
  <si>
    <t>405х575х460 мм</t>
  </si>
  <si>
    <t>MCF T10</t>
  </si>
  <si>
    <t>113 дБ</t>
  </si>
  <si>
    <t>400х320х400 мм</t>
  </si>
  <si>
    <t>MCF T8</t>
  </si>
  <si>
    <t>104 дБ</t>
  </si>
  <si>
    <t>80 Гц</t>
  </si>
  <si>
    <t>2 х ТRS, 2 х RCA</t>
  </si>
  <si>
    <t>280х260х320 мм</t>
  </si>
  <si>
    <t>MCF SP-360</t>
  </si>
  <si>
    <t>Подставка под акустическую систему вращающаяся</t>
  </si>
  <si>
    <t>MCF SP-380A</t>
  </si>
  <si>
    <t>активный 2-полосный студийный монитор ближнего поля, 1,25" ВЧ динамик (купол шелк), 8" НЧ динамик (кевлар)</t>
  </si>
  <si>
    <t>MCF BX8 CARBON</t>
  </si>
  <si>
    <t>115 В ~ 50/60 Гц, 230 В ~ 50/60 Гц, 100 В ~ 50/60 Гц</t>
  </si>
  <si>
    <t>MCF  BX6 CARBON</t>
  </si>
  <si>
    <t>активный 2-полосный студийный монитор ближнего поля, 1,25" ВЧ динамик (купол шелк), 6" НЧ динамик (кевлар)</t>
  </si>
  <si>
    <t>MCF BX5 CARBON</t>
  </si>
  <si>
    <t>активный 2-полосный студийный монитор ближнего поля, 1" ВЧ динамик (купол шелк), 5" НЧ динамик (кевлар)</t>
  </si>
  <si>
    <t>активный 2-полосный студийный монитор ближнего поля,1,25" ВЧ динамик (купол шелк),6" НЧ динамик (кевлар)</t>
  </si>
  <si>
    <t>активный 2-полосный студийный монитор ближнего поля,1" ВЧ динамик (купол шелк),5" НЧ динамик (кевлар)</t>
  </si>
  <si>
    <t>активный 2-полосный студийный монитор ближнего поля,1,25" ВЧ динамик (купол шелк),8" НЧ динамик (кевлар)</t>
  </si>
  <si>
    <t>активный 2-полосный студийный монитор ближнего поля,1,25" ВЧ динамик (купол шелк),2 х 6" НЧ/СЧ динамик (кевлар),установка в горизонтальном или вертикальном положении</t>
  </si>
  <si>
    <t>115 В ~ 50/60 Гц, 230 В ~ 50/60 Гц</t>
  </si>
  <si>
    <t>активный 2-полосный студийный монитор ближнего поля,1,25" ВЧ динамик (купол шелк),2 х 4" НЧ/СЧ динамик (кевлар),установка в горизонтальном или вертикальном положении</t>
  </si>
  <si>
    <t>Активная сабвуферная система,динамик 12" (стекловолокно)</t>
  </si>
  <si>
    <t>Активная сабвуферная система,динамик 10" (стекловолокно)</t>
  </si>
  <si>
    <t>Активная сабвуферная система,динамик 8" (стекловолокно)</t>
  </si>
  <si>
    <t>Стойка под акустическую систему,треугольная тренога,зажим для дополнительного кронштейна</t>
  </si>
  <si>
    <t>Стойка под акустическую систему,крестовина,зажим для дополнительного кронштейна</t>
  </si>
  <si>
    <t>2.2 кГц</t>
  </si>
  <si>
    <t>2.5 кГц</t>
  </si>
  <si>
    <t>2.6 кГц</t>
  </si>
  <si>
    <t>2.7 кГц</t>
  </si>
  <si>
    <t>2.4 кГц</t>
  </si>
  <si>
    <t>2.9 кГц</t>
  </si>
  <si>
    <t>Рабочее напряжение:</t>
  </si>
  <si>
    <t>220В – 240 В 50/60 Гц</t>
  </si>
  <si>
    <t>2600 Вт</t>
  </si>
  <si>
    <t>Источник(и) света:</t>
  </si>
  <si>
    <t>4 лампы-фары DWE 650 Вт</t>
  </si>
  <si>
    <t>Угол раскрытия луча:</t>
  </si>
  <si>
    <t>Однородный</t>
  </si>
  <si>
    <t>DMX</t>
  </si>
  <si>
    <t>Диммер:</t>
  </si>
  <si>
    <t>0-100%</t>
  </si>
  <si>
    <t>Габариты:</t>
  </si>
  <si>
    <t>430x350x160 мм</t>
  </si>
  <si>
    <t>2 х 2600 Вт</t>
  </si>
  <si>
    <t>8 лампы-фары DWE 650 Вт</t>
  </si>
  <si>
    <t>740x360x125 мм</t>
  </si>
  <si>
    <t>320 Вт</t>
  </si>
  <si>
    <t>LED 72 x 3 Вт (R24,G24,B24)</t>
  </si>
  <si>
    <t>Каналов DMX:</t>
  </si>
  <si>
    <t>Светодиод:</t>
  </si>
  <si>
    <t>50 000 часов работы</t>
  </si>
  <si>
    <t>102x283x102 мм</t>
  </si>
  <si>
    <t>550 Вт</t>
  </si>
  <si>
    <t>LED 144 x3 Вт (R48,G48,B48)</t>
  </si>
  <si>
    <t>0-100 %</t>
  </si>
  <si>
    <t>LED 108х3Вт (RGBW)</t>
  </si>
  <si>
    <t>760x300x440 мм</t>
  </si>
  <si>
    <t>LED 25x10W RGB</t>
  </si>
  <si>
    <t>38 °</t>
  </si>
  <si>
    <t>Строб:</t>
  </si>
  <si>
    <t>1 - 30 вспышек в секунду</t>
  </si>
  <si>
    <t>575x575x115 мм</t>
  </si>
  <si>
    <t>MCF LED COBPAR 100W</t>
  </si>
  <si>
    <t>165 Вт</t>
  </si>
  <si>
    <t>LED 1x100W тёплый белый</t>
  </si>
  <si>
    <t>DMX, Звуковая активация, авто режим (Master / Slave)</t>
  </si>
  <si>
    <t>1 – 20 вспышек в секунду</t>
  </si>
  <si>
    <t>220x305x325 мм</t>
  </si>
  <si>
    <t>LED 54x3W</t>
  </si>
  <si>
    <t>260x220x300 мм</t>
  </si>
  <si>
    <t>160 Вт</t>
  </si>
  <si>
    <t>LED 54x3W Multi</t>
  </si>
  <si>
    <t>12°- 35°</t>
  </si>
  <si>
    <t>220В – 240 В 50/60 Гц /60 Гц</t>
  </si>
  <si>
    <t>54 Вт</t>
  </si>
  <si>
    <t>LED 18x3W multi</t>
  </si>
  <si>
    <t>179x179x200 мм</t>
  </si>
  <si>
    <t>400 Вт</t>
  </si>
  <si>
    <t>Тип лампы:</t>
  </si>
  <si>
    <t>светодиодный</t>
  </si>
  <si>
    <t>Мощность LED лампы:</t>
  </si>
  <si>
    <t>Ширина луча:</t>
  </si>
  <si>
    <t>14° - 30°</t>
  </si>
  <si>
    <t>Цветовой диск с 8 цветами:</t>
  </si>
  <si>
    <t>3 белых тона от холодного до теплого белого, желтого цвета, янтарный, красный, зелёный и синий.</t>
  </si>
  <si>
    <t>630х210х170 мм</t>
  </si>
  <si>
    <t>Тип цоколя лампы:</t>
  </si>
  <si>
    <t>линейный</t>
  </si>
  <si>
    <t>260 Вт</t>
  </si>
  <si>
    <t>Цветовая температура:</t>
  </si>
  <si>
    <t>3200К - 6000К</t>
  </si>
  <si>
    <t>Гидромониторное расстояние:</t>
  </si>
  <si>
    <t>до 50 метров</t>
  </si>
  <si>
    <t>Количество цветов:</t>
  </si>
  <si>
    <t>4+ белый</t>
  </si>
  <si>
    <t>Электронная диафрагма:</t>
  </si>
  <si>
    <t>плавная</t>
  </si>
  <si>
    <t>Световой поток:</t>
  </si>
  <si>
    <t>15000 лм</t>
  </si>
  <si>
    <t>Световой КПД:</t>
  </si>
  <si>
    <t>15000 лм/Вт</t>
  </si>
  <si>
    <t>CRI (Ra&gt;):</t>
  </si>
  <si>
    <t>Рабочая температура:</t>
  </si>
  <si>
    <t>-25 - +35°С</t>
  </si>
  <si>
    <t>1300 Вт</t>
  </si>
  <si>
    <t>до 30 метров</t>
  </si>
  <si>
    <t>20000 лм</t>
  </si>
  <si>
    <t>20000 лм/Вт</t>
  </si>
  <si>
    <t>210 Вт</t>
  </si>
  <si>
    <t>LED 18x10W</t>
  </si>
  <si>
    <t>25-30°</t>
  </si>
  <si>
    <t>10 вспышек/сек</t>
  </si>
  <si>
    <t>80 000 часов работы</t>
  </si>
  <si>
    <t>320x226x222 мм</t>
  </si>
  <si>
    <t>215 Вт</t>
  </si>
  <si>
    <t>15-45° при зумировании</t>
  </si>
  <si>
    <t>250x270x330 мм</t>
  </si>
  <si>
    <t>216 Вт</t>
  </si>
  <si>
    <t>LED 18x12W</t>
  </si>
  <si>
    <t>MCF LED Par W 180 multi (RGBWY) IP 65</t>
  </si>
  <si>
    <t>25-33° при зумировании</t>
  </si>
  <si>
    <t>136 Вт</t>
  </si>
  <si>
    <t>8 светодиов по 12W</t>
  </si>
  <si>
    <t>5°</t>
  </si>
  <si>
    <t>1064х84х180 мм</t>
  </si>
  <si>
    <t>- Влагозащита: IP20</t>
  </si>
  <si>
    <t>110 Вт</t>
  </si>
  <si>
    <t>8 светодиодов по 10W Multi</t>
  </si>
  <si>
    <t>190 Вт</t>
  </si>
  <si>
    <t>LED 100 Вт белый</t>
  </si>
  <si>
    <t>17°</t>
  </si>
  <si>
    <t>Угол панарамы:</t>
  </si>
  <si>
    <t>горизонт 540° вертикаль 270°</t>
  </si>
  <si>
    <t>Gobo:</t>
  </si>
  <si>
    <t>- 7 цветов + пустая позиция</t>
  </si>
  <si>
    <t>1 - 9 вспышек в секунду</t>
  </si>
  <si>
    <t>390х330х500 мм</t>
  </si>
  <si>
    <t>LED 60 Вт белый</t>
  </si>
  <si>
    <t>Osram HRI 330W</t>
  </si>
  <si>
    <t xml:space="preserve">4° - 38° </t>
  </si>
  <si>
    <t>21/23/24</t>
  </si>
  <si>
    <t>- 6 цветов + пустая позиция</t>
  </si>
  <si>
    <t>0,5 - 13 вспышек в секунду</t>
  </si>
  <si>
    <t>409x419x541 мм</t>
  </si>
  <si>
    <t>300Вт</t>
  </si>
  <si>
    <t>YODN 5R AC 190W</t>
  </si>
  <si>
    <t>- 14 цветов + пустая позиция</t>
  </si>
  <si>
    <t>Фокусировка:</t>
  </si>
  <si>
    <t>315x339x530 мм</t>
  </si>
  <si>
    <t>360Вт</t>
  </si>
  <si>
    <t>OsramSirius HRI 180/230W</t>
  </si>
  <si>
    <t>470Вт</t>
  </si>
  <si>
    <t>Osram HRI 280W</t>
  </si>
  <si>
    <t>4-38°</t>
  </si>
  <si>
    <t>16/24</t>
  </si>
  <si>
    <t>- 13 цветов + пустая позиция</t>
  </si>
  <si>
    <t>0.5 - 9 вспышек в секунду</t>
  </si>
  <si>
    <t>386x365x589 мм</t>
  </si>
  <si>
    <t>LED 90 Вт белый</t>
  </si>
  <si>
    <t>15°</t>
  </si>
  <si>
    <t>485х370х385 мм</t>
  </si>
  <si>
    <t>LED 120 Вт белый</t>
  </si>
  <si>
    <t>380 Вт</t>
  </si>
  <si>
    <t xml:space="preserve">LED 250 Вт </t>
  </si>
  <si>
    <t>18/22</t>
  </si>
  <si>
    <t>240х340х510 мм</t>
  </si>
  <si>
    <t>- Призма: 6-х линейная призма и 8 призматическая фатура</t>
  </si>
  <si>
    <t>LED 350 Вт белый</t>
  </si>
  <si>
    <t>450х280х680 мм</t>
  </si>
  <si>
    <t xml:space="preserve">LED 12x10W </t>
  </si>
  <si>
    <t xml:space="preserve">45° </t>
  </si>
  <si>
    <t>RGBW 4 в 1 Led</t>
  </si>
  <si>
    <t>260х260х300 мм</t>
  </si>
  <si>
    <t>LED 25x12W multi</t>
  </si>
  <si>
    <t>38°</t>
  </si>
  <si>
    <t>DMX, Звуковая активация, авто режим ( Master / Slave )</t>
  </si>
  <si>
    <t>14/114</t>
  </si>
  <si>
    <t>380х290х500 мм</t>
  </si>
  <si>
    <t>Влагозащита: IP20</t>
  </si>
  <si>
    <t>170 Вт</t>
  </si>
  <si>
    <t>LED 36х3W multi</t>
  </si>
  <si>
    <t>1 - 20 вспышек в секунду</t>
  </si>
  <si>
    <t>460х335х385 мм</t>
  </si>
  <si>
    <t>420 Вт</t>
  </si>
  <si>
    <t xml:space="preserve">LED 36х10W multi </t>
  </si>
  <si>
    <t>10°- 50°</t>
  </si>
  <si>
    <t>горизонт 540° вертикаль 200°</t>
  </si>
  <si>
    <t>16 with macro effect</t>
  </si>
  <si>
    <t xml:space="preserve">RGBW 4 в 1 Led </t>
  </si>
  <si>
    <t>45°</t>
  </si>
  <si>
    <t>LED 108х3W multi</t>
  </si>
  <si>
    <t>15°- 45°</t>
  </si>
  <si>
    <t>435х330х230 мм</t>
  </si>
  <si>
    <t>11кг</t>
  </si>
  <si>
    <t>LED 19х12W multi</t>
  </si>
  <si>
    <t xml:space="preserve">14/22 </t>
  </si>
  <si>
    <t>440х390х310 мм</t>
  </si>
  <si>
    <t>LED 6х12W multi</t>
  </si>
  <si>
    <t>15-35°</t>
  </si>
  <si>
    <t>горизонт 540° вертикаль 190°</t>
  </si>
  <si>
    <t>440х360х320 мм</t>
  </si>
  <si>
    <t>450 Вт</t>
  </si>
  <si>
    <t>LED 19pcs х 15W multi</t>
  </si>
  <si>
    <t>15-45°</t>
  </si>
  <si>
    <t>21/35/78/92/97</t>
  </si>
  <si>
    <t>250х360х495 мм</t>
  </si>
  <si>
    <t xml:space="preserve">LED 36х8W multi </t>
  </si>
  <si>
    <t>15-50°</t>
  </si>
  <si>
    <t>50°</t>
  </si>
  <si>
    <t>15-60°</t>
  </si>
  <si>
    <t>MCF LED 4 PAR RGB Светодиодная панель</t>
  </si>
  <si>
    <t>Автозапуск; Звуковая активация; Крепежная лира в комплекте</t>
  </si>
  <si>
    <t>MCF LED 8 PAR RGB Светодиодная панель</t>
  </si>
  <si>
    <t>MCF Led Par Front 324W RGBW Светодиодная панель</t>
  </si>
  <si>
    <t>Автозапуск; Звуковая активация; 4-кнопочный цифровой дисплей</t>
  </si>
  <si>
    <t>MCF LED 25x10W RGB Светодиодная панель</t>
  </si>
  <si>
    <t>100 встроенных программ;  Влагозащита: IP20дисплей; Цветопередачи (CRI): Ra&gt; 80- XLR 3Pin или XLR 5Pin</t>
  </si>
  <si>
    <t>MCF LED Par 162W RGBW multi Светодиодный прожектор</t>
  </si>
  <si>
    <t>Влагозащита: IP65</t>
  </si>
  <si>
    <t>MCF Led Par 162W  Multi ZOOM Светодиодная панель</t>
  </si>
  <si>
    <t>electronicZoom</t>
  </si>
  <si>
    <t>MCFLEDPar 54WRGB Светодиодный прожектор</t>
  </si>
  <si>
    <t>Мощная охлаждающая система; Влагозащита: IP44</t>
  </si>
  <si>
    <t>LED прожектор следящего света сопоставим с лампой Osram 280WИнтегрированная панельВручную корректируемое изменение масштаба от 14° до 30°Вручную корректируемый фокусВручную корректируемый Iris</t>
  </si>
  <si>
    <t>MCF LED 120W Прожектор следящего света</t>
  </si>
  <si>
    <t>LED прожектор следящего света сопоставим с лампой MS, D250/2 Вручную корректируемое изменение масштаба от 14° до 30°, Вручную корректируемый фокус, Вручную корректируемый Iris, Интегрированная панель</t>
  </si>
  <si>
    <t>MCFLED 150W Прожектор следящего света</t>
  </si>
  <si>
    <t>LED прожектор следящего света сопоставим с лампой MS, D250/2, Вручную корректируемое изменение масштаба от 14° до 30°, Вручную корректируемый фокус, Вручную корректируемый Iris</t>
  </si>
  <si>
    <t>MCF Beam 230W Прожектор следящего света</t>
  </si>
  <si>
    <t>Osram 230W (галогенная, нэльхром)</t>
  </si>
  <si>
    <t>Osram 280W (галогенная, нэльхром)</t>
  </si>
  <si>
    <t>MCF Beam 280W Прожектор следящего света</t>
  </si>
  <si>
    <t>Мощное охлаждение; LED дисплей electronicZoom</t>
  </si>
  <si>
    <t>MCF LED Par 180W Multi (RGBW) Светодиодный прожектор</t>
  </si>
  <si>
    <t>MCF LED Par 180W  Zoom Multi (RGBW) Светодиодный прожектор  моторизованное изменение фокусного расстояния</t>
  </si>
  <si>
    <t>MCF LED Par 216W  Zoom Multi (RGBW) Светодиодный прожектор</t>
  </si>
  <si>
    <t>Мощное охлаждение, LED дисплей electronicZoom</t>
  </si>
  <si>
    <t>Мощное охлаждение; LED дисплей; Влагозащита: IP65</t>
  </si>
  <si>
    <t>MCF LED 8x12W Lenses (RGBW) Светодиодная панель</t>
  </si>
  <si>
    <t>4-кнопочный цифровой дисплей, Звуковая активация, Перемещение панели 230°, Влагозащита: IP20</t>
  </si>
  <si>
    <t>35-70°(внутренняя колба по запросу клиента)</t>
  </si>
  <si>
    <t>17-31⁰</t>
  </si>
  <si>
    <t>MCF LED 8x10W  Lenses Multi (RGBW) Светодиодная панель</t>
  </si>
  <si>
    <t>MCF LED Spot 100W (mini) Интеллектуальная голова</t>
  </si>
  <si>
    <t>7 фикс. гобо+пустая позиция, 7 вращ. гобо+пустая позиция</t>
  </si>
  <si>
    <t>Призма: 3-х фасетнаявращ. Автокоррекция движения, до 540 градусов по горизонтали, до 270 градусов по вертикали</t>
  </si>
  <si>
    <t>MCF LED Spot 60W (mini) Интеллектуальная голова</t>
  </si>
  <si>
    <t>Призма: 3-х фасетнаявращ. Автокоррекция движения,  до 540 градусов по горизонтали, до 270 градусов по вертикали</t>
  </si>
  <si>
    <t>MCF SpotBeam 330W Интеллектуальная голова</t>
  </si>
  <si>
    <t>14 фикс. гобо+пустая позиция, 8 вращ. гобо+пустая позиция</t>
  </si>
  <si>
    <t>Звуковая активация, до 540 градусов по горизонтали, до 250 градусов по вертикали</t>
  </si>
  <si>
    <t>MCFSpotBeam 200W Интеллектуальная голова</t>
  </si>
  <si>
    <t>17 фикс. гобо+пустая позиция, 10 вращ. гобо+пустая позиция</t>
  </si>
  <si>
    <t>Звуковая активация, Автокоррекция движения, до 540 градусов по горизонтали, до 250 градусов по вертикали</t>
  </si>
  <si>
    <t>MCFSpotBeam 230W Интеллектуальная голова</t>
  </si>
  <si>
    <t>MCFSpotBeam 280W Интеллектуальная голова</t>
  </si>
  <si>
    <t>14 фикс. гобо+пустая позиция, 9 вращ. гобо+пустая позиция</t>
  </si>
  <si>
    <t>до 540 градусов по горизонтали, до 270 градусовпо вертикали</t>
  </si>
  <si>
    <t>MCFLEDSpot 90WRGBWY Интеллектуальная голова</t>
  </si>
  <si>
    <t>Призма: 3-х фасетнаявращ. Автокоррекция движения, до 540 градусов по горизонтали, до 255 градусов по вертикали</t>
  </si>
  <si>
    <t>MCFLEDSpot 120WRGBWY  Интеллектуальная голова</t>
  </si>
  <si>
    <t>MCFLEDBeamSpot250W Интеллектуальная голова</t>
  </si>
  <si>
    <t>10 фикс. гобо+пустая позиция, 7 вращ. гобо+пустая позиция</t>
  </si>
  <si>
    <t>MCF LED Beam Spot 350W Интеллектуальная голова</t>
  </si>
  <si>
    <t>MCF LED Wash 120W Multi Интеллектуальная голова</t>
  </si>
  <si>
    <t>MCF LED Wash 300W  RGBW multi Интеллектуальная голова</t>
  </si>
  <si>
    <t>MCF LED Wash 108 W Интеллектуальная голова</t>
  </si>
  <si>
    <t>9/14</t>
  </si>
  <si>
    <t>MCF LED Wash 360W RGBW Zoom Интеллектуальная голова</t>
  </si>
  <si>
    <t>Влагозащита: IP20, electronic Zoom</t>
  </si>
  <si>
    <t>MCF LED Wash 360W RGBW Интеллектуальная голова</t>
  </si>
  <si>
    <t>MCF LED Wash 324 WRGBW Zoom Интеллектуальная голова</t>
  </si>
  <si>
    <t>MCF LED Wash 324 WRGBW Интеллектуальная голова</t>
  </si>
  <si>
    <t>9/16</t>
  </si>
  <si>
    <t>MCF LED Wash 228 W RGBW Zoom Интеллектуальная голова</t>
  </si>
  <si>
    <t>MCF LED Wash 72 WRGBW Интеллектуальная голова</t>
  </si>
  <si>
    <t>12/15</t>
  </si>
  <si>
    <t>MCF LED Wash 285W multi Zoom Интеллектуальная голова</t>
  </si>
  <si>
    <t>DMX, Звуковая активация, авто режим (Master / Slave), Независимы контроль отдельно каждого светодиода</t>
  </si>
  <si>
    <t>MCF LED Wash 288W multi RGBW Интеллектуальная голова</t>
  </si>
  <si>
    <t>17/10</t>
  </si>
  <si>
    <t>MCF LED Wash 288W multi RGBW Zoom Интеллектуальная голова</t>
  </si>
  <si>
    <t>MCF LED Wash 288W multi RGBW ultraviolet Интеллектуальная голова</t>
  </si>
  <si>
    <t>Влагозащита: IP20, ultraviolet</t>
  </si>
  <si>
    <t>MCF LED Wash 288W multi RGBW ultraviolet Zoom Интеллектуальная голова</t>
  </si>
  <si>
    <t>Влагозащита: IP20, electronic Zoom, ultraviolet</t>
  </si>
  <si>
    <t xml:space="preserve">Тип: </t>
  </si>
  <si>
    <t>Двухполосная универсальная акустическая система</t>
  </si>
  <si>
    <t xml:space="preserve">Мощность: </t>
  </si>
  <si>
    <t>50 Вт (длительная)100 Вт (пиковая)</t>
  </si>
  <si>
    <t xml:space="preserve">Чувствительность: </t>
  </si>
  <si>
    <t>84 дБ</t>
  </si>
  <si>
    <t xml:space="preserve">ВЧ динамик: </t>
  </si>
  <si>
    <t>0,5" ламинированный титаном, магнитоэкранированный</t>
  </si>
  <si>
    <t>НЧ динамик:</t>
  </si>
  <si>
    <t>4,5" магнитоэкранированный</t>
  </si>
  <si>
    <t xml:space="preserve">Размер: </t>
  </si>
  <si>
    <t>140х145х225 мм</t>
  </si>
  <si>
    <t xml:space="preserve">Корпус: </t>
  </si>
  <si>
    <t>высокопрочный полипропилен</t>
  </si>
  <si>
    <t>70 Вт (длительная)140 Вт (пиковая)</t>
  </si>
  <si>
    <t>86 дБ</t>
  </si>
  <si>
    <t>0,5", ламинированный титаном, магнитоэкранированный</t>
  </si>
  <si>
    <t>5,25" магнитоэкранированный</t>
  </si>
  <si>
    <t>170х165х265 мм</t>
  </si>
  <si>
    <t>90 Вт (длительная)180 Вт (пиковая)</t>
  </si>
  <si>
    <t>88 дБ</t>
  </si>
  <si>
    <t>1,0", ламинированный титаном, магнитоэкранированный</t>
  </si>
  <si>
    <t>6,5" магнитоэкранированный</t>
  </si>
  <si>
    <t>208х197х328 мм</t>
  </si>
  <si>
    <t>60 Вт постоянная,120 Вт пиковая</t>
  </si>
  <si>
    <t>6 x 3''</t>
  </si>
  <si>
    <t>Угол раскрытия:</t>
  </si>
  <si>
    <t>Частотный диапазон (-6дБ):</t>
  </si>
  <si>
    <t>60 Гц – 18кГц</t>
  </si>
  <si>
    <t>Частотный диапазон (-10дБ):</t>
  </si>
  <si>
    <t>60 Гц – 20кГц</t>
  </si>
  <si>
    <t>125 дБ</t>
  </si>
  <si>
    <t>505 х 105 х 135 мм</t>
  </si>
  <si>
    <t>Акустическая система</t>
  </si>
  <si>
    <t xml:space="preserve">Номинальная мощность: </t>
  </si>
  <si>
    <t xml:space="preserve">Максимальная мощность: </t>
  </si>
  <si>
    <t>Драйвер В.Ч.:</t>
  </si>
  <si>
    <t>1.0”</t>
  </si>
  <si>
    <t>8”</t>
  </si>
  <si>
    <t>97 дБ (1 Вт / 1 м)</t>
  </si>
  <si>
    <t>111 дБ</t>
  </si>
  <si>
    <t xml:space="preserve">Коннектор: </t>
  </si>
  <si>
    <t>2xСпикон</t>
  </si>
  <si>
    <t>248x440x280 мм</t>
  </si>
  <si>
    <t>Корпус FT</t>
  </si>
  <si>
    <t>1.35”</t>
  </si>
  <si>
    <t>115 дБ</t>
  </si>
  <si>
    <t>Мощность усилителя:</t>
  </si>
  <si>
    <t>128 дБ</t>
  </si>
  <si>
    <t>XLR-f/m</t>
  </si>
  <si>
    <t>250x440x280 мм</t>
  </si>
  <si>
    <t>1.75”</t>
  </si>
  <si>
    <t>12”</t>
  </si>
  <si>
    <t>98 дБ (1 Вт / 1 м)</t>
  </si>
  <si>
    <t>363x603x388 мм</t>
  </si>
  <si>
    <t>Корпус FT или X</t>
  </si>
  <si>
    <t>1500 Вт</t>
  </si>
  <si>
    <t>136 дБ</t>
  </si>
  <si>
    <t>16кг</t>
  </si>
  <si>
    <t>121 дБ</t>
  </si>
  <si>
    <t>363x603x385 мм</t>
  </si>
  <si>
    <t>MCF F-1201J+</t>
  </si>
  <si>
    <t>Потребляемая мощность</t>
  </si>
  <si>
    <t>до 500 Вт</t>
  </si>
  <si>
    <t>119 дБ</t>
  </si>
  <si>
    <t>373x603x385 мм</t>
  </si>
  <si>
    <t>MCF F-1501L-22</t>
  </si>
  <si>
    <t>2.0”</t>
  </si>
  <si>
    <t>15”</t>
  </si>
  <si>
    <t>134 дБ</t>
  </si>
  <si>
    <t>408x673x450 мм</t>
  </si>
  <si>
    <t>132 дБ</t>
  </si>
  <si>
    <t>2хСпикон</t>
  </si>
  <si>
    <t>1.75” неодим</t>
  </si>
  <si>
    <t>15” неодим</t>
  </si>
  <si>
    <t>138 дБ</t>
  </si>
  <si>
    <t>MCF F-1501J+</t>
  </si>
  <si>
    <t>FT 425x700x450 мм</t>
  </si>
  <si>
    <t>460x689x442 мм</t>
  </si>
  <si>
    <t>1400 Вт</t>
  </si>
  <si>
    <t>438x712x400 мм</t>
  </si>
  <si>
    <t>16 Ом</t>
  </si>
  <si>
    <t>Динамик СЧ:</t>
  </si>
  <si>
    <t>2x4”</t>
  </si>
  <si>
    <t>1х1”</t>
  </si>
  <si>
    <t>345x120x145 мм</t>
  </si>
  <si>
    <t>4x4”</t>
  </si>
  <si>
    <t>1х1” (Феромагнит)</t>
  </si>
  <si>
    <t>129 дБ</t>
  </si>
  <si>
    <t>113x128x660 мм</t>
  </si>
  <si>
    <t>1х1” (Неодимовый)</t>
  </si>
  <si>
    <t>MCF 403 NEXT</t>
  </si>
  <si>
    <t>123 дБ</t>
  </si>
  <si>
    <t>113x128x416 мм</t>
  </si>
  <si>
    <t>3x4” (Феромагнит)</t>
  </si>
  <si>
    <t>Берёзовая фанера (Россия)</t>
  </si>
  <si>
    <t>126 дБ</t>
  </si>
  <si>
    <t>113x128x550 мм</t>
  </si>
  <si>
    <t>до 900 Вт</t>
  </si>
  <si>
    <t>Ш380хВ580хГ300мм</t>
  </si>
  <si>
    <t>Высокопрочный пропилен</t>
  </si>
  <si>
    <t>11кг/13кг</t>
  </si>
  <si>
    <t>нет</t>
  </si>
  <si>
    <t>Ш450xВ700xГ360 мм</t>
  </si>
  <si>
    <t>8/4 Ом</t>
  </si>
  <si>
    <t>400/800 Вт</t>
  </si>
  <si>
    <t>900 Вт</t>
  </si>
  <si>
    <t>Неодим 1.75”</t>
  </si>
  <si>
    <t>Неодим 15”</t>
  </si>
  <si>
    <t>950/1900Вт</t>
  </si>
  <si>
    <t>XLR-f/m, Speakon</t>
  </si>
  <si>
    <t>Ш420xВ700xГ385 мм</t>
  </si>
  <si>
    <t>343x553x260 мм</t>
  </si>
  <si>
    <t>Сабвуфер</t>
  </si>
  <si>
    <t>40 Гц - 400 Гц (± 3 дБ)</t>
  </si>
  <si>
    <t>2000 Вт</t>
  </si>
  <si>
    <t>18”</t>
  </si>
  <si>
    <t>580x487x670 мм</t>
  </si>
  <si>
    <t>3000 Вт</t>
  </si>
  <si>
    <t>580x500x670 мм</t>
  </si>
  <si>
    <t xml:space="preserve">8 Ом </t>
  </si>
  <si>
    <t>534x590x590 мм</t>
  </si>
  <si>
    <t>2400 Вт</t>
  </si>
  <si>
    <t>4 Ом</t>
  </si>
  <si>
    <t>1800 Вт</t>
  </si>
  <si>
    <t>3600 Вт</t>
  </si>
  <si>
    <t>18”x2</t>
  </si>
  <si>
    <t>960x590x590 мм</t>
  </si>
  <si>
    <t>4000 Вт</t>
  </si>
  <si>
    <t>6000 Вт</t>
  </si>
  <si>
    <t>950x600x600 мм</t>
  </si>
  <si>
    <t>350x374x586 мм</t>
  </si>
  <si>
    <t>35 Гц-200 Гц(+/-3 дБ)</t>
  </si>
  <si>
    <t>4800 Вт</t>
  </si>
  <si>
    <t>18”x2 ферритовый магнит</t>
  </si>
  <si>
    <t>137 дБ</t>
  </si>
  <si>
    <t>1600 Вт</t>
  </si>
  <si>
    <t>напольное и подвесное</t>
  </si>
  <si>
    <t>40 Гц - 5000 Гц (± 3 дБ)</t>
  </si>
  <si>
    <t>580x490x670 мм</t>
  </si>
  <si>
    <t>130 дБ</t>
  </si>
  <si>
    <t>45 Гц - 1000 Гц (± 3 дБ)</t>
  </si>
  <si>
    <t>600 Вт + 2x100 Вт</t>
  </si>
  <si>
    <t>до 1400 Вт</t>
  </si>
  <si>
    <t>XLR-f/m Speakon</t>
  </si>
  <si>
    <t>530x470x560 мм</t>
  </si>
  <si>
    <t>напольное</t>
  </si>
  <si>
    <t>600 Вт + 2x150 Вт</t>
  </si>
  <si>
    <t>до 1600 Вт</t>
  </si>
  <si>
    <t>800 Вт + 2x150 Вт</t>
  </si>
  <si>
    <t>1100 Вт</t>
  </si>
  <si>
    <t>99 дБ (1 Вт / 1 м)</t>
  </si>
  <si>
    <t>до 1800 Вт</t>
  </si>
  <si>
    <t>18”x2”</t>
  </si>
  <si>
    <t>1066x561x780 мм</t>
  </si>
  <si>
    <t>1066x562x780 мм</t>
  </si>
  <si>
    <t>40 Гц – 200 Гц(± 3 дБ)</t>
  </si>
  <si>
    <t>1200вт</t>
  </si>
  <si>
    <t>Программная выходная мощность (PROGRAM):</t>
  </si>
  <si>
    <t>135 дБ</t>
  </si>
  <si>
    <t>960х590х590 мм</t>
  </si>
  <si>
    <t>элемент линейного массива</t>
  </si>
  <si>
    <t>12"x2</t>
  </si>
  <si>
    <t>8"x2</t>
  </si>
  <si>
    <t>Н.Ч.: 103 дБ; С.Ч.: 106 дБ; В.Ч.: 110 дБ</t>
  </si>
  <si>
    <t>Н.Ч.: 130 дБ; С.Ч.: 133 дБ; В.Ч.: 137 дБ</t>
  </si>
  <si>
    <t>4 Ом &amp; 16 Ом</t>
  </si>
  <si>
    <t>Н.Ч.: 2х400 Вт; С.Ч.: 2х150 Вт; В.Ч.:2х150 Вт</t>
  </si>
  <si>
    <t>Н.Ч.: 2х800 Вт; С.Ч.: 2х300 Вт; В.Ч.: 2х300 Вт</t>
  </si>
  <si>
    <t>Угол подвеска:</t>
  </si>
  <si>
    <t xml:space="preserve"> 0°, 2°, 4°, 6°, 8°, 10°, 12°, 15°</t>
  </si>
  <si>
    <t>1045х390х650</t>
  </si>
  <si>
    <t>1.75"x2 или 2"x2 (по желанию заказчика)</t>
  </si>
  <si>
    <t>Феромагнит</t>
  </si>
  <si>
    <t>6"x2 по желанию заказчика</t>
  </si>
  <si>
    <t xml:space="preserve"> 138 дБ</t>
  </si>
  <si>
    <t xml:space="preserve"> 4 Ом &amp; 16 Ом</t>
  </si>
  <si>
    <t xml:space="preserve"> 500 Вт</t>
  </si>
  <si>
    <t xml:space="preserve"> 1200 Вт</t>
  </si>
  <si>
    <t xml:space="preserve"> 100х15°; 100х10°; 90х10°; 90х5о</t>
  </si>
  <si>
    <t xml:space="preserve"> 2х Спикон</t>
  </si>
  <si>
    <t xml:space="preserve"> 580x412x338 мм</t>
  </si>
  <si>
    <t xml:space="preserve">Неодимовый, 10"x2 </t>
  </si>
  <si>
    <t>Неодимовый, 2.0”</t>
  </si>
  <si>
    <t xml:space="preserve"> 700 Вт</t>
  </si>
  <si>
    <t xml:space="preserve"> 1800 Вт</t>
  </si>
  <si>
    <t xml:space="preserve"> 0°, 2°, 4°, 6°, 8°, 10°, 12°, 15° </t>
  </si>
  <si>
    <t>2х Спикон</t>
  </si>
  <si>
    <t xml:space="preserve">1.75” &amp; 1.35” </t>
  </si>
  <si>
    <t>Н.Ч.: 99 дБ; В.Ч.: 111 дБ</t>
  </si>
  <si>
    <t>Н.Ч.: 2х150 Вт; В.Ч.: 2х80 Вт</t>
  </si>
  <si>
    <t>Н.Ч.: 2х300 Вт; В.Ч.: 2х160 Вт</t>
  </si>
  <si>
    <t>100х15°; 100х10°; 90х10°; 90х5о</t>
  </si>
  <si>
    <t>0°, 2°, 4°, 6°, 8°, 10°, 12°, 15°</t>
  </si>
  <si>
    <t>580x412x338 мм</t>
  </si>
  <si>
    <t>Неодимовый, 8"x2</t>
  </si>
  <si>
    <t>Неодимовый, 1.35"/1.75" по желанию заказчика</t>
  </si>
  <si>
    <t>Н.Ч.: 2х200 Вт; В.Ч.: 2х80 Вт</t>
  </si>
  <si>
    <t>Н.Ч.: 2х400 Вт; В.Ч.: 2х160 Вт</t>
  </si>
  <si>
    <t>Н.Ч.: 2х100 Вт; В.Ч.: 2х80 Вт</t>
  </si>
  <si>
    <t>Н.Ч.: 2х200 Вт; В.Ч.: 2х160 Вт</t>
  </si>
  <si>
    <t xml:space="preserve">6.5"x2 </t>
  </si>
  <si>
    <t xml:space="preserve">1.35"x1 </t>
  </si>
  <si>
    <t>98 дБ</t>
  </si>
  <si>
    <t>4 Ом ; 16 Ом</t>
  </si>
  <si>
    <t>0-15°</t>
  </si>
  <si>
    <t>548x215x320 мм</t>
  </si>
  <si>
    <t>Цена за 1</t>
  </si>
  <si>
    <t>Цена за 2</t>
  </si>
  <si>
    <t>70x15</t>
  </si>
  <si>
    <r>
      <t>FT365x600x390 мм</t>
    </r>
    <r>
      <rPr>
        <sz val="11"/>
        <color rgb="FFFF0000"/>
        <rFont val="Calibri"/>
        <family val="2"/>
        <charset val="204"/>
        <scheme val="minor"/>
      </rPr>
      <t>X 360x400 мм</t>
    </r>
  </si>
  <si>
    <t>MCF F-801J (100W)</t>
  </si>
  <si>
    <t>MCF F-801J (150W)</t>
  </si>
  <si>
    <t>Акустическая система активная</t>
  </si>
  <si>
    <t>FT 425x700x450мм; X 460x690x440мм</t>
  </si>
  <si>
    <t>Х 442x689x450 мм; FT 425x700x425</t>
  </si>
  <si>
    <r>
      <t xml:space="preserve">MCF </t>
    </r>
    <r>
      <rPr>
        <sz val="11"/>
        <rFont val="Calibri"/>
        <family val="2"/>
        <charset val="204"/>
        <scheme val="minor"/>
      </rPr>
      <t>F-4J (PL)</t>
    </r>
  </si>
  <si>
    <t>MCF F-5J (PL)</t>
  </si>
  <si>
    <t>MCF F-6J (PL)</t>
  </si>
  <si>
    <t>MCF F-306</t>
  </si>
  <si>
    <t>MCF F-801J+</t>
  </si>
  <si>
    <t>MCF F-1201L</t>
  </si>
  <si>
    <t>MCF N-1201L</t>
  </si>
  <si>
    <t>MCF F-1201J</t>
  </si>
  <si>
    <t>MCF F-1501L</t>
  </si>
  <si>
    <t>MCF N-1501L</t>
  </si>
  <si>
    <t>MCF F-1501J</t>
  </si>
  <si>
    <t>MCF F-402J</t>
  </si>
  <si>
    <t>MCF F-404</t>
  </si>
  <si>
    <t>MCF F-403</t>
  </si>
  <si>
    <t>MCF SPF-1801L</t>
  </si>
  <si>
    <t>MCF SBF-1801L</t>
  </si>
  <si>
    <r>
      <t>MCF S</t>
    </r>
    <r>
      <rPr>
        <sz val="11"/>
        <rFont val="Calibri"/>
        <family val="2"/>
        <charset val="204"/>
        <scheme val="minor"/>
      </rPr>
      <t>BF-1802L (2000)</t>
    </r>
  </si>
  <si>
    <r>
      <t xml:space="preserve">Сабвуфер </t>
    </r>
    <r>
      <rPr>
        <b/>
        <u/>
        <sz val="11"/>
        <rFont val="Calibri"/>
        <family val="2"/>
        <charset val="204"/>
        <scheme val="minor"/>
      </rPr>
      <t>активный</t>
    </r>
  </si>
  <si>
    <t>MCF VF-1202L</t>
  </si>
  <si>
    <r>
      <t>MCF V</t>
    </r>
    <r>
      <rPr>
        <sz val="11"/>
        <rFont val="Calibri"/>
        <family val="2"/>
        <charset val="204"/>
        <scheme val="minor"/>
      </rPr>
      <t>N-1202L</t>
    </r>
  </si>
  <si>
    <r>
      <t>MCF V</t>
    </r>
    <r>
      <rPr>
        <sz val="11"/>
        <rFont val="Calibri"/>
        <family val="2"/>
        <charset val="204"/>
        <scheme val="minor"/>
      </rPr>
      <t>F-1202J</t>
    </r>
  </si>
  <si>
    <r>
      <t>MCF V</t>
    </r>
    <r>
      <rPr>
        <sz val="11"/>
        <rFont val="Calibri"/>
        <family val="2"/>
        <charset val="204"/>
        <scheme val="minor"/>
      </rPr>
      <t>N-1002L</t>
    </r>
  </si>
  <si>
    <r>
      <t>Неодимовый</t>
    </r>
    <r>
      <rPr>
        <i/>
        <sz val="11"/>
        <rFont val="Calibri"/>
        <family val="2"/>
        <charset val="204"/>
        <scheme val="minor"/>
      </rPr>
      <t>,</t>
    </r>
    <r>
      <rPr>
        <sz val="11"/>
        <rFont val="Calibri"/>
        <family val="2"/>
        <charset val="204"/>
        <scheme val="minor"/>
      </rPr>
      <t xml:space="preserve"> 10"x2 </t>
    </r>
  </si>
  <si>
    <r>
      <t>Неодимовый</t>
    </r>
    <r>
      <rPr>
        <i/>
        <sz val="11"/>
        <rFont val="Calibri"/>
        <family val="2"/>
        <charset val="204"/>
        <scheme val="minor"/>
      </rPr>
      <t>,</t>
    </r>
    <r>
      <rPr>
        <sz val="11"/>
        <rFont val="Calibri"/>
        <family val="2"/>
        <charset val="204"/>
        <scheme val="minor"/>
      </rPr>
      <t xml:space="preserve"> 2.0”</t>
    </r>
  </si>
  <si>
    <r>
      <t>MCF V</t>
    </r>
    <r>
      <rPr>
        <sz val="11"/>
        <rFont val="Calibri"/>
        <family val="2"/>
        <charset val="204"/>
        <scheme val="minor"/>
      </rPr>
      <t>N-1002L NEXT</t>
    </r>
  </si>
  <si>
    <r>
      <t>MCF V</t>
    </r>
    <r>
      <rPr>
        <sz val="11"/>
        <rFont val="Calibri"/>
        <family val="2"/>
        <charset val="204"/>
        <scheme val="minor"/>
      </rPr>
      <t>F-802L</t>
    </r>
  </si>
  <si>
    <r>
      <t>MCF V</t>
    </r>
    <r>
      <rPr>
        <sz val="11"/>
        <rFont val="Calibri"/>
        <family val="2"/>
        <charset val="204"/>
        <scheme val="minor"/>
      </rPr>
      <t>N-802L</t>
    </r>
  </si>
  <si>
    <r>
      <t>MCF V</t>
    </r>
    <r>
      <rPr>
        <sz val="11"/>
        <rFont val="Calibri"/>
        <family val="2"/>
        <charset val="204"/>
        <scheme val="minor"/>
      </rPr>
      <t>F-802J</t>
    </r>
  </si>
  <si>
    <r>
      <t>MCF V</t>
    </r>
    <r>
      <rPr>
        <sz val="11"/>
        <rFont val="Calibri"/>
        <family val="2"/>
        <charset val="204"/>
        <scheme val="minor"/>
      </rPr>
      <t>F-602L</t>
    </r>
  </si>
  <si>
    <r>
      <t>MCF V</t>
    </r>
    <r>
      <rPr>
        <sz val="11"/>
        <rFont val="Calibri"/>
        <family val="2"/>
        <charset val="204"/>
        <scheme val="minor"/>
      </rPr>
      <t>F-602J</t>
    </r>
  </si>
  <si>
    <t>MCF F-404 NEXT</t>
  </si>
  <si>
    <t>MCF N-1201L(PL+)</t>
  </si>
  <si>
    <t>MCF F-1201J(PL+)</t>
  </si>
  <si>
    <t>MCF F-1501J(PL+)</t>
  </si>
  <si>
    <t>MCF N-1501L (PL+)</t>
  </si>
  <si>
    <t>MCF F-1201JM</t>
  </si>
  <si>
    <t>MCF F-1201LM</t>
  </si>
  <si>
    <t>MCF N-1201LM</t>
  </si>
  <si>
    <t>MCF SPF-1801LNEXT</t>
  </si>
  <si>
    <t>MCF SBF-1801LNEXT</t>
  </si>
  <si>
    <t>MCF SBF-1802L (1800)</t>
  </si>
  <si>
    <t>MCF SBF-1802LNEXT</t>
  </si>
  <si>
    <t>MCF SPF-1801L+</t>
  </si>
  <si>
    <t>MCF SPF-1801LNEXT+</t>
  </si>
  <si>
    <t>MCF SBF-1802L (2400)</t>
  </si>
  <si>
    <t>положение установки</t>
  </si>
  <si>
    <t>MCF VSPF-1801L</t>
  </si>
  <si>
    <t>MCF VSPN-1801 (1200)</t>
  </si>
  <si>
    <t>MCF VSPN-1801 (1000)</t>
  </si>
  <si>
    <t>MCF SPF-1501L + (600W)</t>
  </si>
  <si>
    <t>Сабвуфер активный</t>
  </si>
  <si>
    <t>MCF SPF-1501L + (800W)</t>
  </si>
  <si>
    <t>MCF SPN-1501L + (800W)</t>
  </si>
  <si>
    <t>MCF SPF-1501L + (1000W)</t>
  </si>
  <si>
    <t>MCF SPF-1802L</t>
  </si>
  <si>
    <t>MCF SPF-1802LNEXT</t>
  </si>
  <si>
    <t>MCF SPF-1802L+</t>
  </si>
  <si>
    <t>MCF SPF-1802LNEXT+</t>
  </si>
  <si>
    <t>MCF SBN-1802L (2400)</t>
  </si>
  <si>
    <t>MCF SBF-1802L+</t>
  </si>
  <si>
    <t>Цена пассив (за единицу элемента)</t>
  </si>
  <si>
    <t>Цена актив (за единицу элемента)</t>
  </si>
  <si>
    <t>тип динамиков</t>
  </si>
  <si>
    <t>Охлаждение</t>
  </si>
  <si>
    <t>Защита</t>
  </si>
  <si>
    <t>Подключение</t>
  </si>
  <si>
    <t>Разъем Speakon MCF  standart</t>
  </si>
  <si>
    <t xml:space="preserve">Разъем: </t>
  </si>
  <si>
    <t>speakon кабельный</t>
  </si>
  <si>
    <t>90 руб.</t>
  </si>
  <si>
    <t>40А</t>
  </si>
  <si>
    <t>Контакты:</t>
  </si>
  <si>
    <t>Разъем Speakon MCF NEXT</t>
  </si>
  <si>
    <t>120 руб.</t>
  </si>
  <si>
    <t>4 (позолоченные)</t>
  </si>
  <si>
    <t>Влагозащита:</t>
  </si>
  <si>
    <t>IP54</t>
  </si>
  <si>
    <t>150 руб.</t>
  </si>
  <si>
    <t>Разъем Speakon MCF 8</t>
  </si>
  <si>
    <t>390 руб.</t>
  </si>
  <si>
    <t>Разъем Speakon L  сборка  MCF</t>
  </si>
  <si>
    <t>290 руб.</t>
  </si>
  <si>
    <t>XLR-male / XLR-female кабельный</t>
  </si>
  <si>
    <t>XLR-male / XLR-female NEXT кабельный</t>
  </si>
  <si>
    <t>3 (напыление- бронза)</t>
  </si>
  <si>
    <t>Jack стандарт  сборка  MCF</t>
  </si>
  <si>
    <t>jack mono 6.3 mm кабельный</t>
  </si>
  <si>
    <t>jack stereo 6.3 mm кабельный</t>
  </si>
  <si>
    <t>jack  mono  6.3 mm кабельный</t>
  </si>
  <si>
    <t>Jack NEXT сборка MCF</t>
  </si>
  <si>
    <t>RCA – джек (моно)</t>
  </si>
  <si>
    <t>50 руб.</t>
  </si>
  <si>
    <t>190 руб.</t>
  </si>
  <si>
    <t>Кабель OXL</t>
  </si>
  <si>
    <t>акустический, универсальный (бескислородная медь)</t>
  </si>
  <si>
    <t>80 м (бухта)</t>
  </si>
  <si>
    <t>-10° - +70°</t>
  </si>
  <si>
    <t>акустический, универсальный (бескислородная медь с добавлением алюминия)</t>
  </si>
  <si>
    <t>акустический, универсальный (бескислородная медь, силиконовая оплетка)</t>
  </si>
  <si>
    <t>- 2х1,0</t>
  </si>
  <si>
    <t>- 2х1,5</t>
  </si>
  <si>
    <t>витая пара, экранированный (сигнальный)</t>
  </si>
  <si>
    <t>- 2х0,4+ экран</t>
  </si>
  <si>
    <t>- 2х0,6+ экран</t>
  </si>
  <si>
    <t>- 2х0,8+ экран</t>
  </si>
  <si>
    <t>Кабель</t>
  </si>
  <si>
    <t>экранированный (микрофонный, DMX) (красный)</t>
  </si>
  <si>
    <t>Провод XLR-f - XLR-m MCF</t>
  </si>
  <si>
    <t>экранированный (сигнальный)</t>
  </si>
  <si>
    <t>390,00</t>
  </si>
  <si>
    <t>450,00</t>
  </si>
  <si>
    <t>490,00</t>
  </si>
  <si>
    <t>550,00</t>
  </si>
  <si>
    <t>590,00</t>
  </si>
  <si>
    <t>650,00</t>
  </si>
  <si>
    <t>690,00</t>
  </si>
  <si>
    <t>750,00</t>
  </si>
  <si>
    <t>890,00</t>
  </si>
  <si>
    <t>990,00</t>
  </si>
  <si>
    <t>1290,00</t>
  </si>
  <si>
    <t>1390,00</t>
  </si>
  <si>
    <t>Провод XLR-f - XLR-m MCF NEXT</t>
  </si>
  <si>
    <t>790,00</t>
  </si>
  <si>
    <t>850,00</t>
  </si>
  <si>
    <t>1090,00</t>
  </si>
  <si>
    <t>1490,00</t>
  </si>
  <si>
    <t>3 (позолоченные)</t>
  </si>
  <si>
    <t>Провод XLR-m – Джек XLR-f – Джек MCF</t>
  </si>
  <si>
    <t>инсертный</t>
  </si>
  <si>
    <t>- 1,5 м</t>
  </si>
  <si>
    <t>290,00</t>
  </si>
  <si>
    <t>- 3 м</t>
  </si>
  <si>
    <t>350,00</t>
  </si>
  <si>
    <t>Провод Мини джек стерео – 2 RCA MCF</t>
  </si>
  <si>
    <t>джек стерео – 2 RCA MCF</t>
  </si>
  <si>
    <t>190,00</t>
  </si>
  <si>
    <t>Провод спикон - спикон MCF (стандарт)</t>
  </si>
  <si>
    <t>акустический универсальный</t>
  </si>
  <si>
    <t>370,00</t>
  </si>
  <si>
    <t>940,00</t>
  </si>
  <si>
    <t>1100,00</t>
  </si>
  <si>
    <t>1200,00</t>
  </si>
  <si>
    <t>Температурный режим</t>
  </si>
  <si>
    <t>Провод спикон - спикон MCF (NEXT)</t>
  </si>
  <si>
    <t>470,00</t>
  </si>
  <si>
    <t>1040,00</t>
  </si>
  <si>
    <t>1300,00</t>
  </si>
  <si>
    <t>Провод спикон - спикон MCF (NEXT II)</t>
  </si>
  <si>
    <t>акустический универсальный (морозостойкий)</t>
  </si>
  <si>
    <t>1690,00</t>
  </si>
  <si>
    <t>2090,00</t>
  </si>
  <si>
    <t>Разъем Speakon MCF NEXT 2</t>
  </si>
  <si>
    <t>Разъем  XLR-m XLR-f сборка MCF</t>
  </si>
  <si>
    <t>Разъем  XLR-m XLR-f  NEXT сборка  MCF</t>
  </si>
  <si>
    <t>Jack NEXT сборка  MCF</t>
  </si>
  <si>
    <t>Переходник RCA - Jack</t>
  </si>
  <si>
    <t>Кабель OXL Акустический BC</t>
  </si>
  <si>
    <t>Сечение</t>
  </si>
  <si>
    <t>Примечание</t>
  </si>
  <si>
    <t>Длина</t>
  </si>
  <si>
    <t>Кабель OXL Акустический ССА</t>
  </si>
  <si>
    <t>акустический (красно-черный) для прокладки к стационарному оборудованию</t>
  </si>
  <si>
    <t>Провод Мини джек стерео – 2 Джек моно MCF</t>
  </si>
  <si>
    <t>Power CON  выходной кабелный MCF</t>
  </si>
  <si>
    <t>Power CON входной панельный коннектор MCF</t>
  </si>
  <si>
    <t>Power CON выходной кабельный (всепогодный) MCF</t>
  </si>
  <si>
    <r>
      <t>- 2х1,0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</si>
  <si>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- 2х1,5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</si>
  <si>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- 2х2,0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</si>
  <si>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- 2х2,5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</si>
  <si>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- 2х4,0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</si>
  <si>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- 0,5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</si>
  <si>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- 0,5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</si>
  <si>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</si>
  <si>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</si>
  <si>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- 3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</si>
  <si>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- 3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</si>
  <si>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</si>
  <si>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</si>
  <si>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</si>
  <si>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</si>
  <si>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0,4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</si>
  <si>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0,5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</si>
  <si>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1,0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</si>
  <si>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1,5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</si>
  <si>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2,0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</si>
  <si>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1,0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</si>
  <si>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1,5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</si>
  <si>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2,0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</si>
  <si>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1,0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</si>
  <si>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1,5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</si>
  <si>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2,0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</si>
  <si>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1,0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</si>
  <si>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1,5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</si>
  <si>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2,0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</si>
  <si>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2,5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</si>
  <si>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 м – Ø 4,0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</si>
  <si>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2,5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</si>
  <si>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- 5 м – Ø 4,0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</si>
  <si>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2,5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</si>
  <si>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- 10 м – Ø 4,0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</si>
  <si>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2,5 мм</t>
    </r>
    <r>
      <rPr>
        <vertAlign val="superscript"/>
        <sz val="11"/>
        <rFont val="Calibri"/>
        <family val="2"/>
        <charset val="204"/>
        <scheme val="minor"/>
      </rPr>
      <t>2</t>
    </r>
  </si>
  <si>
    <r>
      <t>- 15 м – Ø 4,0 мм</t>
    </r>
    <r>
      <rPr>
        <vertAlign val="superscript"/>
        <sz val="11"/>
        <rFont val="Calibri"/>
        <family val="2"/>
        <charset val="204"/>
        <scheme val="minor"/>
      </rPr>
      <t>2</t>
    </r>
  </si>
  <si>
    <t>MCF ML-22</t>
  </si>
  <si>
    <t>Количество ручных микрофонов в комплекте:</t>
  </si>
  <si>
    <t>Диапазон фиксируемых частот радиоканалов:</t>
  </si>
  <si>
    <t>720-820 MHz</t>
  </si>
  <si>
    <t>Стабильность частоты радиоканала:</t>
  </si>
  <si>
    <t>±0.005%</t>
  </si>
  <si>
    <t>Мощность передатчика:</t>
  </si>
  <si>
    <t>10 мВт</t>
  </si>
  <si>
    <t>Количество фиксированых радиоканалов:</t>
  </si>
  <si>
    <t>Соотношение сигнал/шум:</t>
  </si>
  <si>
    <t>≥ 90 dB</t>
  </si>
  <si>
    <t xml:space="preserve">Пиковая девиация: </t>
  </si>
  <si>
    <t>±48 KHz</t>
  </si>
  <si>
    <t>Тип микрофонного капсюля:</t>
  </si>
  <si>
    <t>динамический</t>
  </si>
  <si>
    <t>Частотный диапазон микрофонного капсюля:</t>
  </si>
  <si>
    <t>40-16000 Hz</t>
  </si>
  <si>
    <t>Диаграмма направленности микрофонного капсюля:</t>
  </si>
  <si>
    <t>супер кардиоида</t>
  </si>
  <si>
    <t>Способ отображения информации на базе:</t>
  </si>
  <si>
    <t>LCD дисплея</t>
  </si>
  <si>
    <t>Питание передатчика (микрофона):</t>
  </si>
  <si>
    <t>3V, 2 батареи АА</t>
  </si>
  <si>
    <t>Время работы передатчика от батарей:</t>
  </si>
  <si>
    <t>6- 12 часов</t>
  </si>
  <si>
    <t>Дальность уверенного приема на открытом пространстве:</t>
  </si>
  <si>
    <t>до 100 м</t>
  </si>
  <si>
    <t>Диапазон эксплуатационных температур:</t>
  </si>
  <si>
    <t>от -10 до +40 С°</t>
  </si>
  <si>
    <t>Размеры радио передатчика:</t>
  </si>
  <si>
    <t>420х220х45 мм</t>
  </si>
  <si>
    <t>Размеры микрофона динамический:</t>
  </si>
  <si>
    <t>50х270х50 мм</t>
  </si>
  <si>
    <t>Вес приёмника:</t>
  </si>
  <si>
    <t>1750 гр.</t>
  </si>
  <si>
    <t>Вес передатчика ручного динамического:</t>
  </si>
  <si>
    <t>330 гр.</t>
  </si>
  <si>
    <t xml:space="preserve">MCF U-3400 / </t>
  </si>
  <si>
    <t>MCF U-3400-P</t>
  </si>
  <si>
    <t>620-760 MHz</t>
  </si>
  <si>
    <t>-105 dB</t>
  </si>
  <si>
    <t>±25 KHz</t>
  </si>
  <si>
    <t>кардиоида</t>
  </si>
  <si>
    <t>LCD дисплей</t>
  </si>
  <si>
    <t>Размеры передатчика петлички:</t>
  </si>
  <si>
    <t>65х90х25 мм</t>
  </si>
  <si>
    <t>650 гр.</t>
  </si>
  <si>
    <t>Вес передатчика поясного для гарнитуры и петлички:</t>
  </si>
  <si>
    <t>75 гр.</t>
  </si>
  <si>
    <t xml:space="preserve">Вес гарнитуры: </t>
  </si>
  <si>
    <t>10 гр.</t>
  </si>
  <si>
    <t>CF U-3500</t>
  </si>
  <si>
    <t>-95 dB</t>
  </si>
  <si>
    <t>50-16000 Hz</t>
  </si>
  <si>
    <t xml:space="preserve">MCF U-99 / </t>
  </si>
  <si>
    <t>MCF U-99-P</t>
  </si>
  <si>
    <t>Количество антенн:</t>
  </si>
  <si>
    <t>4 (2 антенны на один приемник)</t>
  </si>
  <si>
    <t>Диапазон перенастраиваемых частот радиоканалов:</t>
  </si>
  <si>
    <t>720-840 MHz</t>
  </si>
  <si>
    <t>Количество перестраиваемых радиоканалов:</t>
  </si>
  <si>
    <t>Тип микрофонного капсула (гарнитура петличка):</t>
  </si>
  <si>
    <t>конденсаторный</t>
  </si>
  <si>
    <t>40-18000 Hz</t>
  </si>
  <si>
    <t>Тип крепления:</t>
  </si>
  <si>
    <t>рэк исполнение</t>
  </si>
  <si>
    <t>420х210х45 мм + 2х30мм (крепления в рэк)</t>
  </si>
  <si>
    <t>900 гр.</t>
  </si>
  <si>
    <t>4 гр.</t>
  </si>
  <si>
    <t>MCF 2-GF</t>
  </si>
  <si>
    <t>640-857МГц</t>
  </si>
  <si>
    <t>±0.0005%</t>
  </si>
  <si>
    <t>100х2</t>
  </si>
  <si>
    <t>&gt;90 dB</t>
  </si>
  <si>
    <t>±80 KHz</t>
  </si>
  <si>
    <t>30Гц-20кГц /±3дБ</t>
  </si>
  <si>
    <t>Частотный диапазон микрофонного передатчика:</t>
  </si>
  <si>
    <t>30Гц-21кГц /±3дБ</t>
  </si>
  <si>
    <t>2 LCD дисплея</t>
  </si>
  <si>
    <t>880 гр.</t>
  </si>
  <si>
    <t>конденсаторный с поясным передатчиком</t>
  </si>
  <si>
    <t>(40Гц-18кГц)/ (40Гц-20кГц)</t>
  </si>
  <si>
    <t>Частотный диапазон поясного передатчика:</t>
  </si>
  <si>
    <t>30Гц-20кГц</t>
  </si>
  <si>
    <t>130 гр.</t>
  </si>
  <si>
    <t>Вес петличного микрофона:</t>
  </si>
  <si>
    <t>6-10 гр.</t>
  </si>
  <si>
    <t>Вес гарнитурного микрофона:</t>
  </si>
  <si>
    <t>MCF 2-GF NEXT</t>
  </si>
  <si>
    <t>2х100 интервал 25КГц</t>
  </si>
  <si>
    <t>±80кГц</t>
  </si>
  <si>
    <t>кардиоидная, суперкардиоидная</t>
  </si>
  <si>
    <t>не менее 8 часов</t>
  </si>
  <si>
    <t>Размеры ручного передатчика с капсюлем:</t>
  </si>
  <si>
    <t>53х272х53 мм</t>
  </si>
  <si>
    <t>Вес радио микрофонного передатчика без капсюля:</t>
  </si>
  <si>
    <t>220 гр.</t>
  </si>
  <si>
    <t>Вес капсюля:</t>
  </si>
  <si>
    <t>210 гр.</t>
  </si>
  <si>
    <t>MCF 2-GF-Kонденсаторные (универсальные)</t>
  </si>
  <si>
    <t>Количество универсальных микрофонных радиопередатчиков конденсаторного типа:</t>
  </si>
  <si>
    <t>210 х 44 х 180 мм</t>
  </si>
  <si>
    <t>Размеры микрофона конденсаторный:</t>
  </si>
  <si>
    <t>10х155х10 мм</t>
  </si>
  <si>
    <t>Вес передатчика универсального конденсаторного:</t>
  </si>
  <si>
    <t>100 гр.</t>
  </si>
  <si>
    <t>MCF U-5200</t>
  </si>
  <si>
    <t>740-769,5 MHz</t>
  </si>
  <si>
    <t>2, с перенастраиваемой частотой</t>
  </si>
  <si>
    <t>230х160х45 мм</t>
  </si>
  <si>
    <t>890 гр.</t>
  </si>
  <si>
    <t>MCF ML-28</t>
  </si>
  <si>
    <t>10 mW</t>
  </si>
  <si>
    <t>MCF E-8</t>
  </si>
  <si>
    <t>≥ 85 dB</t>
  </si>
  <si>
    <t>±45 KHz</t>
  </si>
  <si>
    <t>950 гр.</t>
  </si>
  <si>
    <t xml:space="preserve">MCF U-7700 / </t>
  </si>
  <si>
    <t>620-780 MHz</t>
  </si>
  <si>
    <t>100х4</t>
  </si>
  <si>
    <t>-90 dB</t>
  </si>
  <si>
    <t>два LCD дисплея</t>
  </si>
  <si>
    <t>2000 гр.</t>
  </si>
  <si>
    <t xml:space="preserve">MCF U-6600 / </t>
  </si>
  <si>
    <t>четыре LCD дисплея</t>
  </si>
  <si>
    <t>MCF 4-GF</t>
  </si>
  <si>
    <t>4х100 интервал 25КГц</t>
  </si>
  <si>
    <t>30-20кГц /±3дБ</t>
  </si>
  <si>
    <t>30-21кГц /±3дБ</t>
  </si>
  <si>
    <t>4 LCD дисплея</t>
  </si>
  <si>
    <t>MCF 4-GF NEXT</t>
  </si>
  <si>
    <t>420 + 2х30мм (крепления в рэк) х 44 х 210</t>
  </si>
  <si>
    <t>MCF 4-GF-Конденсаторные (универсальные)</t>
  </si>
  <si>
    <t>MCF U-3600</t>
  </si>
  <si>
    <t>≥ 105 dB</t>
  </si>
  <si>
    <t>80-16000 Hz</t>
  </si>
  <si>
    <t>210х150х45 мм</t>
  </si>
  <si>
    <t>750 гр.</t>
  </si>
  <si>
    <t>MCF PLL-200</t>
  </si>
  <si>
    <t>2х200 интервал 25КГц</t>
  </si>
  <si>
    <t>1700 гр.</t>
  </si>
  <si>
    <t>MCF PLL-200 NEXT</t>
  </si>
  <si>
    <t>ручные (MCF U-3400) -2; петлички (MCF U-3400-P) - 2</t>
  </si>
  <si>
    <t>Описание</t>
  </si>
  <si>
    <t>Автоматический поиск свободного радиоканала, Настройка частоты передатчика по инфракрасному каналу</t>
  </si>
  <si>
    <t>профессиональная диверситивная вокальная радиосистема UHF диапазона с двумя (на выбор ручными микрофонными радиопередатчиками или головные микрофоны), Автоматический поиск свободного радиоканала, Настройка частоты передатчика по инфракрасному каналу</t>
  </si>
  <si>
    <t>76 гр.</t>
  </si>
  <si>
    <t>10 гр. (телесный цвет), 4 гр.(черный цвет)</t>
  </si>
  <si>
    <t>210х180х45 мм (с учетом выноса антенн и регулятора громкости)</t>
  </si>
  <si>
    <t>65х90х25мм, 210х180х45 мм (с учетом выноса антенн и регулятора громкости)</t>
  </si>
  <si>
    <t>Цвет гарнитуры: Телесный, чёрный</t>
  </si>
  <si>
    <t>Кол-во капсюлей</t>
  </si>
  <si>
    <t>2 (кардиоида) или 2 (суперкардиоида)</t>
  </si>
  <si>
    <t>210 х 44 х 180 (с учетом выноса под антенны и регуляторы громкости)</t>
  </si>
  <si>
    <t>ручные (MCF U-7700): 4,  петлички (MCF U-7700-P): 4</t>
  </si>
  <si>
    <t>10 гр. (телесный цвет), 4 гр. (черный цвет)</t>
  </si>
  <si>
    <t>10 гр. (телесный цвет), 4 гр. (черный</t>
  </si>
  <si>
    <t>1750 гр. (без учета фурнитуры)</t>
  </si>
  <si>
    <t>4 (кардиоида), 4 (суперкардиоида)</t>
  </si>
  <si>
    <t>4 гр. (телесный, черный)</t>
  </si>
  <si>
    <t>2 (кардиоида), 2 (суперкардиоида)</t>
  </si>
  <si>
    <t>не менее 6- 12 часов</t>
  </si>
  <si>
    <r>
      <t>MCF 2-GF-</t>
    </r>
    <r>
      <rPr>
        <sz val="12"/>
        <color theme="1"/>
        <rFont val="Calibri"/>
        <family val="2"/>
        <charset val="204"/>
        <scheme val="minor"/>
      </rPr>
      <t>Петлички/Гарнитуры</t>
    </r>
  </si>
  <si>
    <r>
      <t xml:space="preserve">420х220х45 мм + 2х30мм </t>
    </r>
    <r>
      <rPr>
        <sz val="8"/>
        <color theme="1"/>
        <rFont val="Calibri"/>
        <family val="2"/>
        <charset val="204"/>
        <scheme val="minor"/>
      </rPr>
      <t>(крепления в рэк)</t>
    </r>
  </si>
  <si>
    <r>
      <t>MCF U-7700-</t>
    </r>
    <r>
      <rPr>
        <sz val="14"/>
        <color theme="1"/>
        <rFont val="Calibri"/>
        <family val="2"/>
        <charset val="204"/>
        <scheme val="minor"/>
      </rPr>
      <t>Гарнитура</t>
    </r>
  </si>
  <si>
    <r>
      <t>MCF U-6600-</t>
    </r>
    <r>
      <rPr>
        <sz val="14"/>
        <color theme="1"/>
        <rFont val="Calibri"/>
        <family val="2"/>
        <charset val="204"/>
        <scheme val="minor"/>
      </rPr>
      <t>Петлички</t>
    </r>
  </si>
  <si>
    <r>
      <t>MCF 4-GF-</t>
    </r>
    <r>
      <rPr>
        <sz val="14"/>
        <color theme="1"/>
        <rFont val="Calibri"/>
        <family val="2"/>
        <charset val="204"/>
        <scheme val="minor"/>
      </rPr>
      <t>Петлички/Гарнитуры</t>
    </r>
  </si>
  <si>
    <r>
      <t xml:space="preserve">420 + 2х30мм </t>
    </r>
    <r>
      <rPr>
        <sz val="8"/>
        <color theme="1"/>
        <rFont val="Calibri"/>
        <family val="2"/>
        <charset val="204"/>
        <scheme val="minor"/>
      </rPr>
      <t xml:space="preserve">(крепления в рэк) </t>
    </r>
    <r>
      <rPr>
        <sz val="11"/>
        <color theme="1"/>
        <rFont val="Calibri"/>
        <family val="2"/>
        <charset val="204"/>
        <scheme val="minor"/>
      </rPr>
      <t>х 44 х 210</t>
    </r>
  </si>
  <si>
    <r>
      <t xml:space="preserve">480 </t>
    </r>
    <r>
      <rPr>
        <sz val="9"/>
        <color theme="1"/>
        <rFont val="Calibri"/>
        <family val="2"/>
        <charset val="204"/>
        <scheme val="minor"/>
      </rPr>
      <t>(с учетом крепления в рэк)</t>
    </r>
    <r>
      <rPr>
        <sz val="11"/>
        <color theme="1"/>
        <rFont val="Calibri"/>
        <family val="2"/>
        <charset val="204"/>
        <scheme val="minor"/>
      </rPr>
      <t>х44х210</t>
    </r>
  </si>
  <si>
    <t xml:space="preserve">MCF DCS-500S Zvezdec </t>
  </si>
  <si>
    <t>Усилитель мощности</t>
  </si>
  <si>
    <t>Выходная мощность:</t>
  </si>
  <si>
    <t>Каналов:</t>
  </si>
  <si>
    <t>АЧХ:</t>
  </si>
  <si>
    <t>&gt;93 дБ</t>
  </si>
  <si>
    <t>210 В – 230 В, 50/60 Гц</t>
  </si>
  <si>
    <t>488х450х45 мм (1U)</t>
  </si>
  <si>
    <t xml:space="preserve">MCF DCS-800S Zvezdec </t>
  </si>
  <si>
    <t xml:space="preserve">MCF D-2.5L Zhara      </t>
  </si>
  <si>
    <t>Усилитель мощности цифровой с DSP контролем и USB интерфейсом</t>
  </si>
  <si>
    <t>&gt;95 дБ</t>
  </si>
  <si>
    <t>485х383х45 мм (1U)</t>
  </si>
  <si>
    <t xml:space="preserve">MCF D-2.5L Zhara </t>
  </si>
  <si>
    <t xml:space="preserve">MCF D-2.6L Zhara </t>
  </si>
  <si>
    <t>485х410х45 мм (1U)</t>
  </si>
  <si>
    <t xml:space="preserve"> MCF D-2.7L Zhara </t>
  </si>
  <si>
    <t>485410х45 мм (1U)</t>
  </si>
  <si>
    <t>MCF D-2.8L Zhara</t>
  </si>
  <si>
    <t>210 Вт - 230 Вт, 50/60 Гц</t>
  </si>
  <si>
    <t>482х343х45мм (1U)</t>
  </si>
  <si>
    <t>MCF D-2.5 Zhara</t>
  </si>
  <si>
    <t>Усилитель мощности цифровой</t>
  </si>
  <si>
    <t>485х385х45 мм (1U)</t>
  </si>
  <si>
    <t>MCF D-2.6 Zhara</t>
  </si>
  <si>
    <t>MCF D-2.8 Zhara</t>
  </si>
  <si>
    <t>MCFD-2.10 Zhara</t>
  </si>
  <si>
    <t>MCFD-4.3 Zhara</t>
  </si>
  <si>
    <t>482х343х45 мм (1U)</t>
  </si>
  <si>
    <t>MCFD-4.4 Zhara</t>
  </si>
  <si>
    <t>MCF I-4a Bomba</t>
  </si>
  <si>
    <t>&gt;103 дБ</t>
  </si>
  <si>
    <t>484х450х90 мм (2U)</t>
  </si>
  <si>
    <t>MCF I-6a Bomba</t>
  </si>
  <si>
    <t>MCF I-8a Bomba</t>
  </si>
  <si>
    <t>MCF LH-600 Bomba</t>
  </si>
  <si>
    <t>MCF LH-800 Bomba</t>
  </si>
  <si>
    <t>MCF LH-1000 Bomba</t>
  </si>
  <si>
    <t>210 Вт – 230 Вт, 50/60 Гц</t>
  </si>
  <si>
    <t>MCF LH-1300 Bomba</t>
  </si>
  <si>
    <t>MCF IH-1000 Bomba</t>
  </si>
  <si>
    <t>MCF IH-1300 Bomba</t>
  </si>
  <si>
    <t>MCF B-4.6 Bomba</t>
  </si>
  <si>
    <t>MCF B-4.8 Bomba</t>
  </si>
  <si>
    <t>MCF B-4.10 Bomba</t>
  </si>
  <si>
    <t xml:space="preserve">MCF FP+3000 Katyusha   </t>
  </si>
  <si>
    <t>&gt;112 дБ</t>
  </si>
  <si>
    <t>485х410х90 мм (2U)</t>
  </si>
  <si>
    <t xml:space="preserve">MCF FP+4000 Katyusha   </t>
  </si>
  <si>
    <t xml:space="preserve">MCF FP+7000 Katyusha   </t>
  </si>
  <si>
    <t xml:space="preserve">MCF FP+9000 Katyusha   </t>
  </si>
  <si>
    <t xml:space="preserve">MCF FP+13000 Katyusha   </t>
  </si>
  <si>
    <t xml:space="preserve">MCF FP+3000QKatyusha   </t>
  </si>
  <si>
    <t xml:space="preserve">MCF FP+6000Q Katyusha   </t>
  </si>
  <si>
    <t xml:space="preserve">MCF FP+10000Q Katyusha   </t>
  </si>
  <si>
    <t xml:space="preserve">MCF FP+13000Q Katyusha   </t>
  </si>
  <si>
    <t>MCF PA-350</t>
  </si>
  <si>
    <t>&gt;110 дБ</t>
  </si>
  <si>
    <t>110 В – 230 В, 50/60 Гц</t>
  </si>
  <si>
    <t>480х500х90 мм (2U)</t>
  </si>
  <si>
    <t>MCF PA-500</t>
  </si>
  <si>
    <t>MCF PA-600</t>
  </si>
  <si>
    <t>MCF PA-800</t>
  </si>
  <si>
    <t>MCF PA-1200</t>
  </si>
  <si>
    <t>MCF PA-1400</t>
  </si>
  <si>
    <t>MCF PA-1600</t>
  </si>
  <si>
    <t>MCF PA-2100</t>
  </si>
  <si>
    <t>тип</t>
  </si>
  <si>
    <t>модель</t>
  </si>
  <si>
    <t>8ΩSTEREO: 2 x 550, Вт4ΩSTEREO: 2 x 780, Вт2ΩSTEREO: 2 x 1000 Вт</t>
  </si>
  <si>
    <t>8Ω STEREO: 2 x 800, Вт4Ω STEREO: 2 x 1200, Вт2ΩSTEREO: 2 x 1500 Вт</t>
  </si>
  <si>
    <t>8Ω STEREO: 2 x 550 Вт4Ω STEREO: 2 x 750 Вт2Ω STEREO: 2 x 950 Вт</t>
  </si>
  <si>
    <t>8ΩSTEREO: 2 x 550 Вт4ΩSTEREO: 2 x 780 Вт2ΩSTEREO: 2 x 1000 Вт</t>
  </si>
  <si>
    <t>динамический лимитер, регуляторы громкости, технология класса D, встроенный динамический процессор, защита против перегрева</t>
  </si>
  <si>
    <t>8ΩSTEREO: 2 x 600 Вт4ΩSTEREO: 2 x 900 Вт2ΩSTEREO: 2 x 1200 Вт</t>
  </si>
  <si>
    <t>8ΩSTEREO: 2 x 750 Вт4ΩSTEREO: 2 x 1200 Вт2ΩSTEREO: 2 x 1350 Вт</t>
  </si>
  <si>
    <t>8S STEREO: 2 х 800, Вт4S STEREO: 2 х 1200, Вт2S STEREO: 2 х 1500 Вт</t>
  </si>
  <si>
    <t>8Ω STEREO: 2 x 550 Вт4Ω STEREO: 2 x 850 Вт2Ω STEREO: 2 x 1150 Вт8ΩBRIDGE:        1500 Вт</t>
  </si>
  <si>
    <t>8Ω STEREO: 2 x 600 Вт4Ω STEREO: 2 x 900 Вт2Ω STEREO: 2 x 1200 Вт8ΩBRIDGE:        1800 Вт</t>
  </si>
  <si>
    <t>8Ω STEREO: 2 x 800 Вт4Ω STEREO: 2 x 1200 Вт2Ω STEREO: 2 x 1600 Вт8ΩBRIDGE:        2400 Вт</t>
  </si>
  <si>
    <t>8Ω STEREO: 2 x 1000 Вт4Ω STEREO: 2 x 1500 Вт2Ω STEREO: 2 x 2000 Вт8ΩBRIDGE:        3000 Вт</t>
  </si>
  <si>
    <t>8Ω STEREO: 4 x 250 Вт4Ω STEREO: 4 x 400 Вт2Ω STEREO: 4 x 550 Вт8ΩBRIDGE: 2 х 500 Вт4ΩBRIDGE: 2 х 750 Вт</t>
  </si>
  <si>
    <t>8Ω STEREO: 4 x 350 Вт4Ω STEREO: 4 x 550 Вт2Ω STEREO: 4 x 700 Вт8Ω BRIDGE: 2 х 700 Вт4Ω BRIDGE: 2 х 1050 Вт</t>
  </si>
  <si>
    <t>8Ω STEREO: 400 Вт4Ω STEREO: 750 Вт2Ω STEREO: 1100 Вт8ΩBRIDGE: 800 Вт4ΩBRIDGE: 1100 Вт</t>
  </si>
  <si>
    <t>8Ω STEREO: 600 Вт4Ω STEREO: 950 Вт2Ω STEREO: 1400 Вт8ΩBRIDGE: 1200 Вт4ΩBRIDGE: 1500 Вт</t>
  </si>
  <si>
    <t>8Ω STEREO: 800 Вт4Ω STEREO: 1100 Вт2Ω STEREO: 1700 Вт8ΩBRIDGE: 1600 Вт4ΩBRIDGE: 1900 Вт</t>
  </si>
  <si>
    <t>8Ω STEREO: 2 x 600 Вт4Ω STEREO: 2 x 1100 Вт2Ω STEREO: 2 x 1350 Вт8Ω BRIDGE: 1200 Вт4Ω BRIDGE: 2200 Вт</t>
  </si>
  <si>
    <t>8Ω STEREO: 2 x 800 Вт4Ω STEREO: 2 x 1500 Вт2Ω STEREO: 2 x 1750 Вт8Ω BRIDGE: 1600 Вт4Ω BRIDGE: 2600 Вт</t>
  </si>
  <si>
    <t>8Ω STEREO: 2 x 1000 Вт4Ω STEREO: 2 x 1800 Вт2Ω STEREO: 2 x 2050 Вт8Ω BRIDGE: 2000 Вт4Ω BRIDGE: 3600 Вт</t>
  </si>
  <si>
    <t>8Ω STEREO: 2 x 1300 Вт4Ω STEREO: 2 x 2300 Вт2Ω STEREO: 2 x 2450 Вт8Ω BRIDGE: 2600 Вт4Ω BRIDGE: 4600 Вт</t>
  </si>
  <si>
    <t>8Ω STEREO: 2 x 1000 Вт4Ω STEREO: 2 x 1950 Вт8Ω BRIDGE: 2000 Вт4Ω BRIDGE: 2850 Вт</t>
  </si>
  <si>
    <t>8Ω STEREO: 2 x 1300 Вт4Ω STEREO: 2 x 2450 Вт8Ω BRIDGE: 2600 Вт4Ω BRIDGE: 3350 Вт</t>
  </si>
  <si>
    <t>8Ω STEREO: 4 x 600 Вт4Ω STEREO: 4 x 1000 Вт2Ω STEREO: 4 x 1200 Вт8Ω BRIDGE: 2 x 1200 Вт4Ω BRIDGE: 2 x 2000 Вт</t>
  </si>
  <si>
    <t>8Ω STEREO: 4 x 800 Вт4Ω STEREO: 4 x 1500 Вт2Ω STEREO: 4 x 1700 Вт8Ω BRIDGE: 2 x 1600 Вт4Ω BRIDGE: 2 x 2900 Вт</t>
  </si>
  <si>
    <t>8Ω STEREO: 4 x 1000 Вт4Ω STEREO: 4 x 1900 Вт2Ω STEREO: 4 x 2100 Вт8Ω BRIDGE: 2 x 2000 Вт4Ω BRIDGE: 2 x 3600 Вт</t>
  </si>
  <si>
    <t>8Ω STEREO: 2 x 500 Вт4Ω STEREO: 2 x 800 Вт2Ω STEREO: 2 x 1600 Вт8Ω BRIDGE: 1500 Вт4Ω BRIDGE: 3000 Вт</t>
  </si>
  <si>
    <t>8Ω STEREO: 2 x 800 Вт4Ω STEREO: 2 x 1500 Вт2Ω STEREO: 2 x 3000 Вт8Ω BRIDGE: 2400 Вт4Ω BRIDGE: 4000 Вт</t>
  </si>
  <si>
    <t>8Ω STEREO: 2 x 1100 Вт4Ω STEREO: 2 x 2000 Вт2Ω STEREO: 2 x 4000 Вт8Ω BRIDGE: 3300 Вт4Ω BRIDGE: 7000 Вт</t>
  </si>
  <si>
    <t>8Ω STEREO: 2 x 1500 Вт4Ω STEREO: 2 x 2800 Вт2Ω STEREO: 2 x 3600 Вт8Ω BRIDGE: 4500 Вт4Ω BRIDGE: 9000 Вт</t>
  </si>
  <si>
    <t>8Ω STEREO: 2 x 2000 Вт4Ω STEREO: 2 x 3850 Вт2Ω STEREO: 2 x 7600 Вт8Ω BRIDGE: 6000 Вт4Ω BRIDGE: 13000 Вт</t>
  </si>
  <si>
    <t>8Ω STEREO: 4 x 500 Вт4Ω STEREO: 4 x 800 Вт2Ω STEREO: 4 x 1600 Вт8Ω BRIDGE: 2 x 1500 Вт4Ω BRIDGE: 2 x 3000 Вт</t>
  </si>
  <si>
    <t>8Ω STEREO: 4 x 625 Вт4Ω STEREO: 4 x 1250 Вт2Ω STEREO: 4 x 1500 Вт8Ω BRIDGE: 2 x 2500 Вт4Ω BRIDGE: 2 x 3000 Вт</t>
  </si>
  <si>
    <t>8Ω STEREO: 4 x 1300 Вт4Ω STEREO: 4 x 2100 Вт2Ω STEREO: 4 x 2500 Вт8Ω BRIDGE: 2 x 4200 Вт4Ω BRIDGE: 2 x 5000 Вт</t>
  </si>
  <si>
    <t>8Ω STEREO: 4 x 2000 Вт4Ω STEREO: 4 x 3850 Вт2Ω STEREO: 4 x 7600 Вт8Ω BRIDGE: 2 x 6000 Вт4Ω BRIDGE: 2 x 13000 Вт</t>
  </si>
  <si>
    <t>8Ω STEREO: 2 x 350 Вт4Ω STEREO: 2 x 500 Вт2Ω STEREO: 2 x 600 Вт8Ω BRIDGE: 700 Вт4Ω BRIDGE: 1400 Вт</t>
  </si>
  <si>
    <t>8Ω STEREO: 2 x 500 Вт4Ω STEREO: 2 x 600 Вт2Ω STEREO: 2 x 800 Вт8Ω BRIDGE: 1000 Вт4Ω BRIDGE: 1600 Вт</t>
  </si>
  <si>
    <t>8Ω STEREO: 2 x 600 Вт4Ω STEREO: 2 x 900 Вт2Ω STEREO: 2 x 1100 Вт8Ω BRIDGE: 1800 Вт4Ω BRIDGE: 2000 Вт</t>
  </si>
  <si>
    <t>8Ω STEREO: 2 x 800 Вт4Ω STEREO: 2 x 1100 Вт2Ω STEREO: 2 x 1300 Вт8Ω BRIDGE: 1800 Вт4Ω BRIDGE: 2200 Вт</t>
  </si>
  <si>
    <t>8Ω STEREO: 2 x 1200 Вт4Ω STEREO: 2 x 1600 Вт2Ω STEREO: 2 x 1800 Вт8Ω BRIDGE: 2700 Вт4Ω BRIDGE: 3200 Вт</t>
  </si>
  <si>
    <t>8Ω STEREO: 2 x 1400 Вт4Ω STEREO: 2 x 1100 Вт2Ω STEREO: 2 x 2000 Вт8Ω BRIDGE: 3600 Вт4Ω BRIDGE: 3800 Вт</t>
  </si>
  <si>
    <t>8Ω STEREO: 2 x 1600 Вт4Ω STEREO: 2 x 2100 Вт2Ω STEREO: 2 x 2300 Вт8Ω BRIDGE: 3600 Вт4Ω BRIDGE: 4200 Вт</t>
  </si>
  <si>
    <t>8Ω STEREO: 2 x 2100 Вт4Ω STEREO: 2 x 2800 Вт2Ω STEREO: 2 x 3200 Вт8Ω BRIDGE: 4200 Вт4Ω BRIDGE: 5600 Вт</t>
  </si>
  <si>
    <t>технология класса АВ</t>
  </si>
  <si>
    <t>динамический лимитер, технология класса D, встроенный динамический процессор</t>
  </si>
  <si>
    <t>динамический лимитер, технология класса ТD, встроенный динамический процессор</t>
  </si>
  <si>
    <t>динамический лимитер, регуляторы громкости, технология класса D, встроенный динамический процессор</t>
  </si>
  <si>
    <t xml:space="preserve">34 900 </t>
  </si>
  <si>
    <t xml:space="preserve">69 900 </t>
  </si>
  <si>
    <t>Полное наименование</t>
  </si>
  <si>
    <t>MCF F-1501L NEXT</t>
  </si>
  <si>
    <t>Сабвуфер пассивный</t>
  </si>
  <si>
    <t>Масса нетто (кг):</t>
  </si>
  <si>
    <t>М 25.4</t>
  </si>
  <si>
    <t>М 51</t>
  </si>
  <si>
    <t>40W RMS</t>
  </si>
  <si>
    <t>150W RMS</t>
  </si>
  <si>
    <t>60W RMS</t>
  </si>
  <si>
    <t>15W RMS</t>
  </si>
  <si>
    <t>неодимовый</t>
  </si>
  <si>
    <t>HDTW 25-04</t>
  </si>
  <si>
    <t>HDTW 25-04-S</t>
  </si>
  <si>
    <t>HDTW 25-17</t>
  </si>
  <si>
    <t>HDTW 25-20</t>
  </si>
  <si>
    <t>HDTW 25-41</t>
  </si>
  <si>
    <t>HDYW 34-02</t>
  </si>
  <si>
    <t>22 (51.0)</t>
  </si>
  <si>
    <t>HDYW44-04</t>
  </si>
  <si>
    <t>HDYW 44-20B</t>
  </si>
  <si>
    <t>HDTW 25-08G</t>
  </si>
  <si>
    <t>25mm</t>
  </si>
  <si>
    <t>TW 510</t>
  </si>
  <si>
    <t>TW 44</t>
  </si>
  <si>
    <t>TW 350</t>
  </si>
  <si>
    <t>TD510</t>
  </si>
  <si>
    <t>TD 440</t>
  </si>
  <si>
    <t>TD 350</t>
  </si>
  <si>
    <t>ND510</t>
  </si>
  <si>
    <t>ND 440</t>
  </si>
  <si>
    <t>Цена (руб)</t>
  </si>
  <si>
    <t>Вид цен</t>
  </si>
  <si>
    <t>Розница</t>
  </si>
  <si>
    <t>Артикул</t>
  </si>
  <si>
    <t>Наименование</t>
  </si>
  <si>
    <t>ЕдиницаИзмерения</t>
  </si>
  <si>
    <t>КатегорияНоменклатуры</t>
  </si>
  <si>
    <t>Поставщик</t>
  </si>
  <si>
    <t>Склад</t>
  </si>
  <si>
    <t>СпособПополнения</t>
  </si>
  <si>
    <t>СчетУчетаЗапасов</t>
  </si>
  <si>
    <t>ТипНоменклатуры</t>
  </si>
  <si>
    <t>MCF</t>
  </si>
  <si>
    <t xml:space="preserve">MCF </t>
  </si>
  <si>
    <t xml:space="preserve">Динамик высокой частоты </t>
  </si>
  <si>
    <t>шт</t>
  </si>
  <si>
    <t>Основной склад</t>
  </si>
  <si>
    <t>Производство</t>
  </si>
  <si>
    <t>Товары, продукция</t>
  </si>
  <si>
    <t>Запас</t>
  </si>
  <si>
    <t>Производитель</t>
  </si>
  <si>
    <t>69 900</t>
  </si>
  <si>
    <t>74 900</t>
  </si>
  <si>
    <t>29 900</t>
  </si>
  <si>
    <t>39 900</t>
  </si>
  <si>
    <t>54 900</t>
  </si>
  <si>
    <t>19 900</t>
  </si>
  <si>
    <t>22 900</t>
  </si>
  <si>
    <t>MCF PRW8 Микшерный пульт активный</t>
  </si>
  <si>
    <t>MCF PRW6 Микшерный пульт активный</t>
  </si>
  <si>
    <t>MCF PRO-FX16 Микшерный пульт пассивный</t>
  </si>
  <si>
    <t>MCF AM-RS16 Микшерный пульт пассивный</t>
  </si>
  <si>
    <t>MCF AM-GM8P(350W) Микшерный пульт активный</t>
  </si>
  <si>
    <t>MCF F18 (800)</t>
  </si>
  <si>
    <t>MCF F18 (1000)</t>
  </si>
  <si>
    <t>MCF F15-L22</t>
  </si>
  <si>
    <t>Масса(кг):</t>
  </si>
  <si>
    <t xml:space="preserve">Студийные мониторы </t>
  </si>
  <si>
    <t xml:space="preserve">MCF 4 DWE 650W Блиндер-панель </t>
  </si>
  <si>
    <t xml:space="preserve">MCF 8 DWE 650W Блиндер-панель </t>
  </si>
  <si>
    <t>MCF LED 350W Пушка слежения</t>
  </si>
  <si>
    <t>2,5</t>
  </si>
  <si>
    <t>0,8</t>
  </si>
  <si>
    <t>8,9</t>
  </si>
  <si>
    <t>9,1</t>
  </si>
  <si>
    <t>3,5</t>
  </si>
  <si>
    <t>3,2</t>
  </si>
  <si>
    <t>12,5</t>
  </si>
  <si>
    <t>6,5</t>
  </si>
  <si>
    <t>90 Гц - 18ц</t>
  </si>
  <si>
    <t>1,4</t>
  </si>
  <si>
    <t>70 Гц - 18ц</t>
  </si>
  <si>
    <t>1,8</t>
  </si>
  <si>
    <t>65 Гц - 20ц</t>
  </si>
  <si>
    <t>2,4</t>
  </si>
  <si>
    <t>2,9</t>
  </si>
  <si>
    <t>80 Гц - 18ц (± 3 дБ)</t>
  </si>
  <si>
    <t>8,5</t>
  </si>
  <si>
    <t>55 Гц - 20ц (± 3 дБ)</t>
  </si>
  <si>
    <t>16,5</t>
  </si>
  <si>
    <t>15,5</t>
  </si>
  <si>
    <t>55 Гц - 18ц (± 3 дБ)</t>
  </si>
  <si>
    <t>FT 23,5</t>
  </si>
  <si>
    <t>40 Гц - 20ц (± 3 дБ)</t>
  </si>
  <si>
    <t>20,5</t>
  </si>
  <si>
    <t>45 Гц - 20ц (± 3 дБ)</t>
  </si>
  <si>
    <t>120 Гц - 18ц (± 6 дБ)</t>
  </si>
  <si>
    <t>2,6</t>
  </si>
  <si>
    <t>4,6</t>
  </si>
  <si>
    <t>120 Гц - 20ц (± 6 дБ)</t>
  </si>
  <si>
    <t>50 Гц - 18ц (± 3 дБ)</t>
  </si>
  <si>
    <t>14,3</t>
  </si>
  <si>
    <t>45 Гц - 18ц (± 3 дБ)</t>
  </si>
  <si>
    <t>18,5</t>
  </si>
  <si>
    <t>20,8</t>
  </si>
  <si>
    <t>13,1</t>
  </si>
  <si>
    <t>13,6</t>
  </si>
  <si>
    <t>44,5</t>
  </si>
  <si>
    <t>32,8</t>
  </si>
  <si>
    <t>60 Гц - 20ц (± 5 дБ)</t>
  </si>
  <si>
    <t>58 - 63</t>
  </si>
  <si>
    <t>59 - 64</t>
  </si>
  <si>
    <t>60 Гц - 18ц (± 5 дБ)</t>
  </si>
  <si>
    <t>54 - 59</t>
  </si>
  <si>
    <t xml:space="preserve"> 70 Гц - 18ц (± 5 дБ)</t>
  </si>
  <si>
    <t xml:space="preserve"> 20,5</t>
  </si>
  <si>
    <t xml:space="preserve"> 70 Гц - 20ц (± 5 дБ)</t>
  </si>
  <si>
    <t xml:space="preserve"> 21,5</t>
  </si>
  <si>
    <t>70 Гц - 20ц (± 5 дБ)</t>
  </si>
  <si>
    <t>19,5</t>
  </si>
  <si>
    <t>85 Гц - 20ц (± 5 дБ)</t>
  </si>
  <si>
    <t>4 900</t>
  </si>
  <si>
    <t>7 900</t>
  </si>
  <si>
    <t>9 900</t>
  </si>
  <si>
    <t>19 800</t>
  </si>
  <si>
    <t>24 900</t>
  </si>
  <si>
    <t>44 900</t>
  </si>
  <si>
    <t>32 900</t>
  </si>
  <si>
    <t>27 900</t>
  </si>
  <si>
    <t>49 900</t>
  </si>
  <si>
    <t>52 900</t>
  </si>
  <si>
    <t>34 900</t>
  </si>
  <si>
    <t>59 900</t>
  </si>
  <si>
    <t>37 900</t>
  </si>
  <si>
    <t>11 900</t>
  </si>
  <si>
    <t>23 800</t>
  </si>
  <si>
    <t>49 800</t>
  </si>
  <si>
    <t>39 800</t>
  </si>
  <si>
    <t>35 800</t>
  </si>
  <si>
    <t>42 900</t>
  </si>
  <si>
    <t>129 900</t>
  </si>
  <si>
    <t>119 900</t>
  </si>
  <si>
    <t>124 900</t>
  </si>
  <si>
    <t>84 900</t>
  </si>
  <si>
    <t>159 900</t>
  </si>
  <si>
    <t>149 900</t>
  </si>
  <si>
    <t>79 900</t>
  </si>
  <si>
    <t>45 900</t>
  </si>
  <si>
    <t>99 800</t>
  </si>
  <si>
    <t>64 900</t>
  </si>
  <si>
    <t>89 900</t>
  </si>
  <si>
    <t>169 900</t>
  </si>
  <si>
    <t>104 900</t>
  </si>
  <si>
    <t>199 900</t>
  </si>
  <si>
    <t>139 900</t>
  </si>
  <si>
    <t>99 900</t>
  </si>
  <si>
    <t xml:space="preserve">Радиосистема </t>
  </si>
  <si>
    <t>20 Гц - 20ц (±0,5 дБ)</t>
  </si>
  <si>
    <t>9,5</t>
  </si>
  <si>
    <t>20 Гц - 20ц (±0,3 дБ)</t>
  </si>
  <si>
    <t>6,9</t>
  </si>
  <si>
    <t>8,2</t>
  </si>
  <si>
    <t>7,6</t>
  </si>
  <si>
    <t>20 Гц - 20ц (±1,5 дБ)</t>
  </si>
  <si>
    <t>12,1</t>
  </si>
  <si>
    <t>20 Гц - 20ц (±0,2 дБ)</t>
  </si>
  <si>
    <t>11,1</t>
  </si>
  <si>
    <t>11,4</t>
  </si>
  <si>
    <t>12,4</t>
  </si>
  <si>
    <t>12,2</t>
  </si>
  <si>
    <t>12,8</t>
  </si>
  <si>
    <t>20 Гц - 20ц (±0,4 дБ)</t>
  </si>
  <si>
    <t>22,5</t>
  </si>
  <si>
    <t>24,5</t>
  </si>
  <si>
    <t>25,5</t>
  </si>
  <si>
    <t>26,5</t>
  </si>
  <si>
    <t>30,5</t>
  </si>
  <si>
    <t>32,5</t>
  </si>
  <si>
    <t>AUX шины</t>
  </si>
  <si>
    <t>Характеристики:</t>
  </si>
  <si>
    <t>Длина:</t>
  </si>
  <si>
    <t>Описание:</t>
  </si>
  <si>
    <t>Количество зон:</t>
  </si>
  <si>
    <t>Вес(kg):</t>
  </si>
  <si>
    <t xml:space="preserve">Вес(кг): </t>
  </si>
  <si>
    <t>20 Гц - 20ц</t>
  </si>
  <si>
    <t>9 пассив/ 16 актив</t>
  </si>
  <si>
    <t>30 Гц - 20ц</t>
  </si>
  <si>
    <t>5,5</t>
  </si>
  <si>
    <t xml:space="preserve"> 13,5</t>
  </si>
  <si>
    <t>11,5</t>
  </si>
  <si>
    <t>40 Гц - 20ц</t>
  </si>
  <si>
    <t>14,5</t>
  </si>
  <si>
    <t>20 Гц - 18ц</t>
  </si>
  <si>
    <t>14,6</t>
  </si>
  <si>
    <t>15,8</t>
  </si>
  <si>
    <t>17,0</t>
  </si>
  <si>
    <t>4,8</t>
  </si>
  <si>
    <t>5,6</t>
  </si>
  <si>
    <t>6,3</t>
  </si>
  <si>
    <t>8,0</t>
  </si>
  <si>
    <t>13,9</t>
  </si>
  <si>
    <t>18,0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</si>
</sst>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b/>
      <i/>
      <sz val="11"/>
      <color rgb="FFFF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trike/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u/>
      <sz val="1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vertAlign val="superscript"/>
      <sz val="1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156">
    <xf numFmtId="0" fontId="0" fillId="0" borderId="0" xfId="0"/>
    <xf numFmtId="0" fontId="2" fillId="0" borderId="0" xfId="0" applyFont="1" applyFill="1" applyBorder="1" applyAlignment="1">
      <alignment vertical="top" wrapText="1"/>
    </xf>
    <xf numFmtId="0" fontId="0" fillId="0" borderId="0" xfId="0" applyFont="1" applyFill="1" applyBorder="1" applyAlignment="1">
      <alignment horizontal="left" vertical="top" wrapText="1"/>
    </xf>
    <xf numFmtId="3" fontId="0" fillId="0" borderId="0" xfId="0" applyNumberFormat="1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0" fontId="2" fillId="0" borderId="0" xfId="0" applyFont="1"/>
    <xf numFmtId="0" fontId="2" fillId="0" borderId="0" xfId="0" applyFont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0" borderId="0" xfId="0" applyFont="1" applyFill="1" applyBorder="1"/>
    <xf numFmtId="0" fontId="4" fillId="0" borderId="0" xfId="0" applyFont="1" applyFill="1" applyBorder="1" applyAlignment="1">
      <alignment horizontal="justify"/>
    </xf>
    <xf numFmtId="0" fontId="2" fillId="0" borderId="0" xfId="0" applyFont="1" applyFill="1" applyBorder="1" applyAlignment="1">
      <alignment horizontal="justify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justify" vertical="top" wrapText="1"/>
    </xf>
    <xf numFmtId="0" fontId="2" fillId="0" borderId="0" xfId="0" applyFont="1" applyFill="1" applyBorder="1" applyAlignment="1">
      <alignment horizontal="center" vertical="top"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left" vertical="top" wrapText="1"/>
    </xf>
    <xf numFmtId="0" fontId="4" fillId="0" borderId="0" xfId="0" applyFont="1" applyFill="1" applyBorder="1" applyAlignment="1">
      <alignment horizontal="justify" wrapText="1"/>
    </xf>
    <xf numFmtId="0" fontId="2" fillId="0" borderId="0" xfId="0" applyFont="1" applyFill="1" applyBorder="1" applyAlignment="1">
      <alignment horizontal="justify" wrapText="1"/>
    </xf>
    <xf numFmtId="0" fontId="2" fillId="0" borderId="0" xfId="0" applyFont="1" applyFill="1" applyBorder="1" applyAlignment="1">
      <alignment horizontal="left" wrapText="1"/>
    </xf>
    <xf numFmtId="3" fontId="2" fillId="0" borderId="0" xfId="0" applyNumberFormat="1" applyFont="1" applyFill="1" applyBorder="1" applyAlignment="1">
      <alignment horizontal="center" wrapText="1"/>
    </xf>
    <xf numFmtId="0" fontId="5" fillId="0" borderId="0" xfId="0" applyFont="1" applyFill="1" applyBorder="1" applyAlignment="1">
      <alignment wrapText="1"/>
    </xf>
    <xf numFmtId="0" fontId="2" fillId="0" borderId="0" xfId="0" applyNumberFormat="1" applyFont="1" applyFill="1" applyBorder="1" applyAlignment="1">
      <alignment horizontal="center" wrapText="1"/>
    </xf>
    <xf numFmtId="3" fontId="2" fillId="0" borderId="0" xfId="0" applyNumberFormat="1" applyFont="1" applyFill="1" applyBorder="1" applyAlignment="1">
      <alignment wrapText="1"/>
    </xf>
    <xf numFmtId="0" fontId="2" fillId="0" borderId="0" xfId="0" applyFont="1" applyFill="1" applyBorder="1" applyAlignment="1">
      <alignment horizontal="right" vertical="top" wrapText="1"/>
    </xf>
    <xf numFmtId="3" fontId="2" fillId="0" borderId="0" xfId="0" applyNumberFormat="1" applyFont="1" applyFill="1" applyBorder="1" applyAlignment="1">
      <alignment horizontal="right" vertical="top" wrapText="1"/>
    </xf>
    <xf numFmtId="0" fontId="2" fillId="0" borderId="0" xfId="0" applyFont="1" applyBorder="1" applyAlignment="1">
      <alignment horizontal="left" vertical="top" wrapText="1"/>
    </xf>
    <xf numFmtId="0" fontId="2" fillId="4" borderId="0" xfId="0" applyFont="1" applyFill="1" applyBorder="1" applyAlignment="1">
      <alignment horizontal="left" vertical="top" wrapText="1"/>
    </xf>
    <xf numFmtId="0" fontId="2" fillId="4" borderId="0" xfId="0" applyFont="1" applyFill="1" applyBorder="1"/>
    <xf numFmtId="0" fontId="2" fillId="0" borderId="0" xfId="0" applyFont="1" applyBorder="1" applyAlignment="1">
      <alignment horizontal="justify" vertical="top" wrapText="1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4" borderId="0" xfId="0" applyFont="1" applyFill="1" applyBorder="1" applyAlignment="1">
      <alignment horizontal="center" vertical="top" wrapText="1"/>
    </xf>
    <xf numFmtId="0" fontId="2" fillId="4" borderId="0" xfId="0" applyFont="1" applyFill="1" applyBorder="1" applyAlignment="1">
      <alignment wrapText="1"/>
    </xf>
    <xf numFmtId="0" fontId="7" fillId="3" borderId="0" xfId="0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horizontal="left" vertical="top" wrapText="1"/>
    </xf>
    <xf numFmtId="0" fontId="8" fillId="2" borderId="0" xfId="0" applyFont="1" applyFill="1" applyAlignment="1"/>
    <xf numFmtId="0" fontId="8" fillId="0" borderId="0" xfId="0" applyFont="1"/>
    <xf numFmtId="0" fontId="8" fillId="2" borderId="0" xfId="0" applyFont="1" applyFill="1" applyBorder="1"/>
    <xf numFmtId="0" fontId="8" fillId="0" borderId="0" xfId="0" applyFont="1" applyFill="1" applyBorder="1"/>
    <xf numFmtId="0" fontId="8" fillId="2" borderId="0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horizontal="justify" vertical="top" wrapText="1"/>
    </xf>
    <xf numFmtId="0" fontId="9" fillId="2" borderId="0" xfId="0" applyFont="1" applyFill="1" applyAlignment="1">
      <alignment horizontal="justify" vertical="top" wrapText="1"/>
    </xf>
    <xf numFmtId="0" fontId="8" fillId="2" borderId="0" xfId="0" applyFont="1" applyFill="1" applyBorder="1" applyAlignment="1">
      <alignment horizontal="center" vertical="top" wrapText="1"/>
    </xf>
    <xf numFmtId="0" fontId="8" fillId="2" borderId="0" xfId="0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right" vertical="top" wrapText="1"/>
    </xf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8" fillId="4" borderId="0" xfId="0" applyFont="1" applyFill="1" applyBorder="1"/>
    <xf numFmtId="0" fontId="8" fillId="2" borderId="0" xfId="0" applyFont="1" applyFill="1" applyBorder="1" applyAlignment="1">
      <alignment vertical="top" wrapText="1"/>
    </xf>
    <xf numFmtId="0" fontId="8" fillId="2" borderId="0" xfId="0" applyFont="1" applyFill="1" applyBorder="1" applyAlignment="1">
      <alignment vertical="top"/>
    </xf>
    <xf numFmtId="0" fontId="0" fillId="0" borderId="0" xfId="0" applyFont="1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8" fillId="0" borderId="0" xfId="0" applyFont="1" applyBorder="1" applyAlignment="1">
      <alignment wrapText="1"/>
    </xf>
    <xf numFmtId="0" fontId="0" fillId="0" borderId="0" xfId="0" applyAlignment="1"/>
    <xf numFmtId="0" fontId="7" fillId="0" borderId="0" xfId="0" applyFont="1"/>
    <xf numFmtId="0" fontId="7" fillId="0" borderId="0" xfId="0" applyFont="1" applyAlignment="1">
      <alignment horizontal="left"/>
    </xf>
    <xf numFmtId="49" fontId="7" fillId="0" borderId="0" xfId="0" applyNumberFormat="1" applyFont="1" applyAlignment="1">
      <alignment horizontal="left" wrapText="1"/>
    </xf>
    <xf numFmtId="0" fontId="1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2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justify" wrapText="1"/>
    </xf>
    <xf numFmtId="0" fontId="11" fillId="0" borderId="0" xfId="0" applyFont="1" applyAlignment="1">
      <alignment horizontal="justify" wrapText="1"/>
    </xf>
    <xf numFmtId="0" fontId="0" fillId="0" borderId="0" xfId="0" applyFont="1" applyFill="1" applyBorder="1" applyAlignment="1">
      <alignment horizontal="justify" vertical="top" wrapText="1"/>
    </xf>
    <xf numFmtId="0" fontId="0" fillId="0" borderId="0" xfId="0" applyFont="1" applyFill="1" applyBorder="1" applyAlignment="1">
      <alignment vertical="top"/>
    </xf>
    <xf numFmtId="0" fontId="12" fillId="0" borderId="0" xfId="0" applyFont="1" applyFill="1" applyBorder="1" applyAlignment="1">
      <alignment horizontal="center" vertical="top"/>
    </xf>
    <xf numFmtId="0" fontId="7" fillId="2" borderId="0" xfId="0" applyFont="1" applyFill="1" applyBorder="1" applyAlignment="1">
      <alignment vertical="top"/>
    </xf>
    <xf numFmtId="0" fontId="7" fillId="2" borderId="0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vertical="top" wrapText="1"/>
    </xf>
    <xf numFmtId="0" fontId="7" fillId="2" borderId="0" xfId="0" applyFont="1" applyFill="1" applyBorder="1" applyAlignment="1">
      <alignment horizontal="justify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vertical="top"/>
    </xf>
    <xf numFmtId="0" fontId="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3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13" fillId="0" borderId="0" xfId="0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left" wrapText="1"/>
    </xf>
    <xf numFmtId="49" fontId="2" fillId="0" borderId="0" xfId="0" applyNumberFormat="1" applyFont="1" applyFill="1" applyBorder="1" applyAlignment="1">
      <alignment horizontal="left" vertical="top" wrapText="1"/>
    </xf>
    <xf numFmtId="0" fontId="4" fillId="0" borderId="0" xfId="0" applyFont="1" applyAlignment="1">
      <alignment horizontal="justify" wrapText="1"/>
    </xf>
    <xf numFmtId="0" fontId="0" fillId="0" borderId="0" xfId="0" applyFont="1" applyFill="1" applyBorder="1"/>
    <xf numFmtId="0" fontId="7" fillId="0" borderId="0" xfId="0" applyFont="1" applyFill="1" applyBorder="1" applyAlignment="1">
      <alignment wrapText="1"/>
    </xf>
    <xf numFmtId="0" fontId="0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>
      <alignment textRotation="90" wrapText="1"/>
    </xf>
    <xf numFmtId="0" fontId="7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justify" wrapText="1"/>
    </xf>
    <xf numFmtId="0" fontId="16" fillId="0" borderId="0" xfId="0" applyFont="1" applyFill="1" applyBorder="1" applyAlignment="1">
      <alignment horizontal="center" wrapText="1"/>
    </xf>
    <xf numFmtId="0" fontId="7" fillId="0" borderId="0" xfId="0" applyFont="1" applyFill="1" applyBorder="1" applyAlignment="1">
      <alignment vertical="top" wrapText="1"/>
    </xf>
    <xf numFmtId="0" fontId="0" fillId="0" borderId="0" xfId="0" applyFill="1" applyBorder="1" applyAlignment="1">
      <alignment horizontal="left" wrapText="1"/>
    </xf>
    <xf numFmtId="0" fontId="6" fillId="0" borderId="0" xfId="0" applyFont="1" applyFill="1" applyBorder="1" applyAlignment="1">
      <alignment horizontal="left" wrapText="1"/>
    </xf>
    <xf numFmtId="0" fontId="0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center" vertical="top" wrapText="1"/>
    </xf>
    <xf numFmtId="0" fontId="7" fillId="5" borderId="0" xfId="0" applyFont="1" applyFill="1" applyBorder="1"/>
    <xf numFmtId="0" fontId="7" fillId="5" borderId="0" xfId="0" applyFont="1" applyFill="1" applyBorder="1" applyAlignment="1">
      <alignment horizontal="left" vertical="top" wrapText="1"/>
    </xf>
    <xf numFmtId="0" fontId="7" fillId="5" borderId="0" xfId="0" applyFont="1" applyFill="1" applyBorder="1" applyAlignment="1">
      <alignment horizontal="justify" vertical="top" wrapText="1"/>
    </xf>
    <xf numFmtId="0" fontId="16" fillId="5" borderId="0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horizontal="left" wrapText="1"/>
    </xf>
    <xf numFmtId="0" fontId="17" fillId="0" borderId="0" xfId="0" applyFont="1" applyFill="1" applyBorder="1" applyAlignment="1">
      <alignment horizontal="justify" wrapText="1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horizontal="justify" vertical="top" wrapText="1"/>
    </xf>
    <xf numFmtId="0" fontId="17" fillId="0" borderId="0" xfId="0" applyFont="1" applyFill="1" applyBorder="1" applyAlignment="1">
      <alignment vertical="top" wrapText="1"/>
    </xf>
    <xf numFmtId="0" fontId="0" fillId="0" borderId="0" xfId="0" applyFont="1" applyFill="1" applyBorder="1" applyAlignment="1"/>
    <xf numFmtId="0" fontId="8" fillId="2" borderId="0" xfId="0" applyFont="1" applyFill="1" applyBorder="1" applyAlignment="1">
      <alignment horizontal="justify" wrapText="1"/>
    </xf>
    <xf numFmtId="0" fontId="0" fillId="0" borderId="0" xfId="0" applyFill="1" applyBorder="1" applyAlignment="1">
      <alignment vertical="top" wrapText="1"/>
    </xf>
    <xf numFmtId="0" fontId="7" fillId="5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top"/>
    </xf>
    <xf numFmtId="0" fontId="17" fillId="0" borderId="0" xfId="0" applyFont="1" applyFill="1" applyBorder="1" applyAlignment="1">
      <alignment horizontal="center" vertical="top" wrapText="1"/>
    </xf>
    <xf numFmtId="0" fontId="17" fillId="0" borderId="0" xfId="0" applyFont="1" applyFill="1" applyBorder="1" applyAlignment="1">
      <alignment vertical="top" textRotation="90" wrapText="1"/>
    </xf>
    <xf numFmtId="0" fontId="17" fillId="0" borderId="0" xfId="0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justify" vertical="top"/>
    </xf>
    <xf numFmtId="0" fontId="19" fillId="0" borderId="0" xfId="0" applyFont="1" applyFill="1" applyBorder="1" applyAlignment="1">
      <alignment horizontal="center" vertical="top"/>
    </xf>
    <xf numFmtId="0" fontId="19" fillId="0" borderId="0" xfId="0" applyFont="1" applyFill="1" applyBorder="1" applyAlignment="1">
      <alignment horizontal="justify" vertical="top"/>
    </xf>
    <xf numFmtId="0" fontId="16" fillId="3" borderId="0" xfId="0" applyFont="1" applyFill="1" applyBorder="1" applyAlignment="1">
      <alignment vertical="top"/>
    </xf>
    <xf numFmtId="0" fontId="16" fillId="3" borderId="0" xfId="0" applyFont="1" applyFill="1" applyBorder="1" applyAlignment="1">
      <alignment horizontal="center" vertical="top" wrapText="1"/>
    </xf>
    <xf numFmtId="0" fontId="16" fillId="3" borderId="0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vertical="top"/>
    </xf>
    <xf numFmtId="0" fontId="0" fillId="0" borderId="0" xfId="0" applyFont="1" applyFill="1" applyBorder="1" applyAlignment="1">
      <alignment horizontal="center" wrapText="1"/>
    </xf>
    <xf numFmtId="0" fontId="16" fillId="3" borderId="0" xfId="0" applyFont="1" applyFill="1" applyBorder="1" applyAlignment="1">
      <alignment wrapText="1"/>
    </xf>
    <xf numFmtId="0" fontId="16" fillId="3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 wrapText="1"/>
    </xf>
    <xf numFmtId="3" fontId="17" fillId="0" borderId="0" xfId="0" applyNumberFormat="1" applyFont="1" applyFill="1" applyBorder="1" applyAlignment="1">
      <alignment vertical="top" wrapText="1"/>
    </xf>
    <xf numFmtId="0" fontId="16" fillId="5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left" wrapText="1"/>
    </xf>
    <xf numFmtId="0" fontId="16" fillId="0" borderId="0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/>
    </xf>
    <xf numFmtId="49" fontId="7" fillId="3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2" fontId="0" fillId="0" borderId="0" xfId="0" applyNumberFormat="1" applyFont="1" applyFill="1" applyBorder="1" applyAlignment="1">
      <alignment horizontal="left" vertical="top" wrapText="1"/>
    </xf>
    <xf numFmtId="0" fontId="0" fillId="0" borderId="0" xfId="0" applyNumberFormat="1" applyFont="1" applyFill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6" fillId="0" borderId="0" xfId="1" applyFont="1" applyBorder="1" applyAlignment="1">
      <alignment horizontal="left" vertical="top"/>
    </xf>
    <xf numFmtId="0" fontId="17" fillId="0" borderId="0" xfId="1" applyFont="1" applyBorder="1" applyAlignment="1">
      <alignment horizontal="left" vertical="top"/>
    </xf>
    <xf numFmtId="0" fontId="15" fillId="0" borderId="0" xfId="0" applyFont="1" applyBorder="1" applyAlignment="1">
      <alignment wrapText="1"/>
    </xf>
    <xf numFmtId="3" fontId="14" fillId="0" borderId="0" xfId="0" applyNumberFormat="1" applyFont="1" applyFill="1" applyBorder="1" applyAlignment="1">
      <alignment horizontal="center" wrapText="1"/>
    </xf>
    <xf numFmtId="3" fontId="7" fillId="0" borderId="0" xfId="0" applyNumberFormat="1" applyFont="1" applyFill="1" applyBorder="1" applyAlignment="1">
      <alignment wrapText="1"/>
    </xf>
    <xf numFmtId="3" fontId="7" fillId="0" borderId="0" xfId="0" applyNumberFormat="1" applyFont="1" applyFill="1" applyBorder="1" applyAlignment="1">
      <alignment vertical="top" wrapText="1"/>
    </xf>
    <xf numFmtId="3" fontId="7" fillId="0" borderId="0" xfId="0" applyNumberFormat="1" applyFont="1" applyFill="1" applyBorder="1" applyAlignment="1">
      <alignment horizontal="center" wrapText="1"/>
    </xf>
    <xf numFmtId="16" fontId="17" fillId="0" borderId="0" xfId="0" applyNumberFormat="1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vertical="top"/>
    </xf>
    <xf numFmtId="0" fontId="0" fillId="0" borderId="0" xfId="0" applyNumberFormat="1" applyAlignment="1">
      <alignment horizontal="left" vertical="top" wrapText="1"/>
    </xf>
    <xf numFmtId="49" fontId="7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</cellXfs>
  <cellStyles count="2">
    <cellStyle name="Обычный" xfId="0" builtinId="0"/>
    <cellStyle name="Пояснение" xfId="1" builtinId="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E42"/>
  <sheetViews>
    <sheetView tabSelected="1" zoomScale="70" zoomScaleNormal="70" workbookViewId="0">
      <pane ySplit="1" topLeftCell="A2" activePane="bottomLeft" state="frozen"/>
      <selection pane="bottomLeft" activeCell="U1" sqref="U1"/>
    </sheetView>
  </sheetViews>
  <sheetFormatPr defaultRowHeight="15" x14ac:dyDescent="0.25"/>
  <cols>
    <col min="1" max="1" width="3" style="36" bestFit="1" customWidth="1"/>
    <col min="2" max="2" width="13.42578125" style="2" bestFit="1" customWidth="1"/>
    <col min="3" max="3" width="14.7109375" style="2" hidden="1" customWidth="1"/>
    <col min="4" max="5" width="10.28515625" style="2" hidden="1" customWidth="1"/>
    <col min="6" max="6" width="10.7109375" style="2" hidden="1" customWidth="1"/>
    <col min="7" max="7" width="16.140625" style="2" hidden="1" customWidth="1"/>
    <col min="8" max="8" width="12" style="2" hidden="1" customWidth="1"/>
    <col min="9" max="9" width="18.140625" style="2" hidden="1" customWidth="1"/>
    <col min="10" max="10" width="14.42578125" style="2" hidden="1" customWidth="1"/>
    <col min="11" max="11" width="9.7109375" style="2" hidden="1" customWidth="1"/>
    <col min="12" max="12" width="8.42578125" style="2" hidden="1" customWidth="1"/>
    <col min="13" max="13" width="11.140625" style="2" hidden="1" customWidth="1"/>
    <col min="14" max="14" width="11.28515625" style="2" hidden="1" customWidth="1"/>
    <col min="15" max="15" width="6.5703125" style="137" bestFit="1" customWidth="1"/>
    <col min="16" max="16" width="17.5703125" style="2" hidden="1" customWidth="1"/>
    <col min="17" max="17" width="9.7109375" style="2" bestFit="1" customWidth="1"/>
    <col min="18" max="18" width="31.5703125" style="2" bestFit="1" customWidth="1"/>
    <col min="19" max="19" width="8.5703125" style="2" bestFit="1" customWidth="1"/>
    <col min="20" max="20" width="17.85546875" style="2" bestFit="1" customWidth="1"/>
    <col min="21" max="21" width="25.5703125" style="2" bestFit="1" customWidth="1"/>
    <col min="22" max="22" width="17.5703125" style="2" bestFit="1" customWidth="1"/>
    <col min="23" max="23" width="22.140625" style="2" bestFit="1" customWidth="1"/>
    <col min="24" max="24" width="10.140625" style="2" bestFit="1" customWidth="1"/>
    <col min="25" max="25" width="6.28515625" style="2" bestFit="1" customWidth="1"/>
    <col min="26" max="26" width="17.85546875" style="2" bestFit="1" customWidth="1"/>
    <col min="27" max="27" width="16.85546875" style="2" bestFit="1" customWidth="1"/>
    <col min="28" max="28" width="16.42578125" style="2" bestFit="1" customWidth="1"/>
    <col min="29" max="29" width="9.140625" style="2"/>
    <col min="30" max="30" width="4.85546875" style="2" bestFit="1" customWidth="1"/>
    <col min="31" max="31" width="8.7109375" style="2" bestFit="1" customWidth="1"/>
    <col min="32" max="16384" width="9.140625" style="2"/>
  </cols>
  <sheetData>
    <row r="1" spans="1:31" s="35" customFormat="1" ht="45" x14ac:dyDescent="0.25">
      <c r="A1" s="35" t="s">
        <v>636</v>
      </c>
      <c r="B1" s="35" t="s">
        <v>0</v>
      </c>
      <c r="C1" s="35" t="s">
        <v>2</v>
      </c>
      <c r="D1" s="35" t="s">
        <v>3</v>
      </c>
      <c r="E1" s="35" t="s">
        <v>5</v>
      </c>
      <c r="F1" s="35" t="s">
        <v>7</v>
      </c>
      <c r="G1" s="35" t="s">
        <v>9</v>
      </c>
      <c r="H1" s="35" t="s">
        <v>11</v>
      </c>
      <c r="I1" s="35" t="s">
        <v>13</v>
      </c>
      <c r="J1" s="35" t="s">
        <v>15</v>
      </c>
      <c r="K1" s="35" t="s">
        <v>17</v>
      </c>
      <c r="L1" s="35" t="s">
        <v>19</v>
      </c>
      <c r="M1" s="35" t="s">
        <v>21</v>
      </c>
      <c r="N1" s="35" t="s">
        <v>23</v>
      </c>
      <c r="O1" s="136" t="s">
        <v>1798</v>
      </c>
      <c r="P1" s="35" t="s">
        <v>24</v>
      </c>
      <c r="Q1" s="141" t="s">
        <v>1825</v>
      </c>
      <c r="R1" s="141" t="s">
        <v>1651</v>
      </c>
      <c r="S1" s="141" t="s">
        <v>1826</v>
      </c>
      <c r="T1" s="142" t="s">
        <v>1828</v>
      </c>
      <c r="U1" s="142" t="s">
        <v>1829</v>
      </c>
      <c r="V1" s="142" t="s">
        <v>1830</v>
      </c>
      <c r="W1" s="142" t="s">
        <v>1831</v>
      </c>
      <c r="X1" s="142" t="s">
        <v>1832</v>
      </c>
      <c r="Y1" s="142" t="s">
        <v>1833</v>
      </c>
      <c r="Z1" s="142" t="s">
        <v>1834</v>
      </c>
      <c r="AA1" s="142" t="s">
        <v>1835</v>
      </c>
      <c r="AB1" s="142" t="s">
        <v>1836</v>
      </c>
      <c r="AC1" s="35" t="s">
        <v>1845</v>
      </c>
    </row>
    <row r="2" spans="1:31" ht="225" x14ac:dyDescent="0.25">
      <c r="A2" s="36">
        <v>1</v>
      </c>
      <c r="B2" s="2" t="s">
        <v>1806</v>
      </c>
      <c r="C2" s="2" t="s">
        <v>338</v>
      </c>
      <c r="D2" s="2" t="s">
        <v>4</v>
      </c>
      <c r="E2" s="2" t="s">
        <v>6</v>
      </c>
      <c r="F2" s="2" t="s">
        <v>8</v>
      </c>
      <c r="G2" s="2" t="s">
        <v>10</v>
      </c>
      <c r="H2" s="2" t="s">
        <v>12</v>
      </c>
      <c r="I2" s="2" t="s">
        <v>14</v>
      </c>
      <c r="J2" s="2" t="s">
        <v>16</v>
      </c>
      <c r="K2" s="2" t="s">
        <v>18</v>
      </c>
      <c r="L2" s="2" t="s">
        <v>20</v>
      </c>
      <c r="M2" s="2" t="s">
        <v>22</v>
      </c>
      <c r="N2" s="2" t="s">
        <v>1799</v>
      </c>
      <c r="O2" s="138">
        <v>0.5</v>
      </c>
      <c r="P2" s="2" t="s">
        <v>25</v>
      </c>
      <c r="Q2" s="2">
        <v>790</v>
      </c>
      <c r="R2" s="2" t="str">
        <f>CONCATENATE( C1,C2,CHAR(10), D1,D2,CHAR(10), E1,E2,CHAR(10), F1,F2,CHAR(10), G1,G2,CHAR(10), H1,H2,CHAR(10), I1,I2,CHAR(10), J1,J2,CHAR(10), K1,K2,CHAR(10), L1,L2,CHAR(10), M1,M2,CHAR(10), N1,N2,CHAR(10), O1,O2,CHAR(10), P1,P2,CHAR(10), )</f>
        <v xml:space="preserve">Тип динамика:ферромагнит
Материал корпуса:KSV 0.08
Материал катушки:CCAW VC
Мощность:25W RMS
Сопротивление:8 Ом
Внутренний диаметр:25.4 мм
Чувствительность:105 дБ
Диапазон частот:2 кГц – 20 кГц
Общий диаметр:95.0 мм
Глубина:40.0 мм
Размер магнита:70 х 10 мм
Крепление: катушкиМ 25.4
Масса нетто (кг):0.5
Диафрагма:Титановая мембрана
</v>
      </c>
      <c r="S2" s="140" t="s">
        <v>1827</v>
      </c>
      <c r="T2" s="2" t="str">
        <f t="shared" ref="T2:T22" si="0">CONCATENATE(AD2,B2)</f>
        <v>MCF HDTW 25-04</v>
      </c>
      <c r="U2" s="2" t="str">
        <f>CONCATENATE(AE2,T2)</f>
        <v>Динамик высокой частоты MCF HDTW 25-04</v>
      </c>
      <c r="V2" s="2" t="s">
        <v>1840</v>
      </c>
      <c r="X2" s="2" t="s">
        <v>1837</v>
      </c>
      <c r="Y2" s="143" t="s">
        <v>1841</v>
      </c>
      <c r="Z2" s="143" t="s">
        <v>1842</v>
      </c>
      <c r="AA2" s="143" t="s">
        <v>1843</v>
      </c>
      <c r="AB2" s="143" t="s">
        <v>1844</v>
      </c>
      <c r="AC2" s="2" t="s">
        <v>1837</v>
      </c>
      <c r="AD2" s="2" t="s">
        <v>1838</v>
      </c>
      <c r="AE2" s="2" t="s">
        <v>1839</v>
      </c>
    </row>
    <row r="3" spans="1:31" ht="225" x14ac:dyDescent="0.25">
      <c r="A3" s="36">
        <v>2</v>
      </c>
      <c r="B3" s="2" t="s">
        <v>1807</v>
      </c>
      <c r="C3" s="2" t="s">
        <v>338</v>
      </c>
      <c r="D3" s="2" t="s">
        <v>4</v>
      </c>
      <c r="E3" s="2" t="s">
        <v>6</v>
      </c>
      <c r="F3" s="2" t="s">
        <v>8</v>
      </c>
      <c r="G3" s="2" t="s">
        <v>10</v>
      </c>
      <c r="H3" s="2" t="s">
        <v>12</v>
      </c>
      <c r="I3" s="2" t="s">
        <v>14</v>
      </c>
      <c r="J3" s="2" t="s">
        <v>16</v>
      </c>
      <c r="K3" s="2" t="s">
        <v>18</v>
      </c>
      <c r="L3" s="2" t="s">
        <v>20</v>
      </c>
      <c r="M3" s="2" t="s">
        <v>26</v>
      </c>
      <c r="N3" s="2" t="s">
        <v>1799</v>
      </c>
      <c r="O3" s="138">
        <v>0.5</v>
      </c>
      <c r="P3" s="2" t="s">
        <v>25</v>
      </c>
      <c r="Q3" s="2">
        <v>790</v>
      </c>
      <c r="R3" s="2" t="str">
        <f>CONCATENATE( C1,C3,CHAR(10), D1,D3,CHAR(10), E1,E3,CHAR(10), F1,F3,CHAR(10), G1,G3,CHAR(10), H1,H3,CHAR(10), I1,I3,CHAR(10), J1,J3,CHAR(10), K1,K3,CHAR(10), L1,L3,CHAR(10), M1,M3,CHAR(10), N1,N3,CHAR(10), O1,O3,CHAR(10), P1,P3,CHAR(10), )</f>
        <v xml:space="preserve">Тип динамика:ферромагнит
Материал корпуса:KSV 0.08
Материал катушки:CCAW VC
Мощность:25W RMS
Сопротивление:8 Ом
Внутренний диаметр:25.4 мм
Чувствительность:105 дБ
Диапазон частот:2 кГц – 20 кГц
Общий диаметр:95.0 мм
Глубина:40.0 мм
Размер магнита:70 x 10 мм
Крепление: катушкиМ 25.4
Масса нетто (кг):0.5
Диафрагма:Титановая мембрана
</v>
      </c>
      <c r="S3" s="140" t="s">
        <v>1827</v>
      </c>
      <c r="T3" s="2" t="str">
        <f t="shared" si="0"/>
        <v>MCF HDTW 25-04-S</v>
      </c>
      <c r="U3" s="2" t="str">
        <f t="shared" ref="U3:U22" si="1">CONCATENATE(AE3,T3)</f>
        <v>Динамик высокой частоты MCF HDTW 25-04-S</v>
      </c>
      <c r="V3" s="2" t="s">
        <v>1840</v>
      </c>
      <c r="X3" s="2" t="s">
        <v>1837</v>
      </c>
      <c r="Y3" s="143" t="s">
        <v>1841</v>
      </c>
      <c r="Z3" s="143" t="s">
        <v>1842</v>
      </c>
      <c r="AA3" s="143" t="s">
        <v>1843</v>
      </c>
      <c r="AB3" s="143" t="s">
        <v>1844</v>
      </c>
      <c r="AC3" s="2" t="s">
        <v>1837</v>
      </c>
      <c r="AD3" s="2" t="s">
        <v>1838</v>
      </c>
      <c r="AE3" s="2" t="s">
        <v>1839</v>
      </c>
    </row>
    <row r="4" spans="1:31" ht="225" x14ac:dyDescent="0.25">
      <c r="A4" s="36">
        <v>3</v>
      </c>
      <c r="B4" s="2" t="s">
        <v>1808</v>
      </c>
      <c r="C4" s="2" t="s">
        <v>338</v>
      </c>
      <c r="D4" s="2" t="s">
        <v>4</v>
      </c>
      <c r="E4" s="2" t="s">
        <v>6</v>
      </c>
      <c r="F4" s="2" t="s">
        <v>8</v>
      </c>
      <c r="G4" s="2" t="s">
        <v>10</v>
      </c>
      <c r="H4" s="2" t="s">
        <v>12</v>
      </c>
      <c r="I4" s="2" t="s">
        <v>14</v>
      </c>
      <c r="J4" s="2" t="s">
        <v>16</v>
      </c>
      <c r="K4" s="2" t="s">
        <v>27</v>
      </c>
      <c r="L4" s="2" t="s">
        <v>28</v>
      </c>
      <c r="M4" s="2" t="s">
        <v>22</v>
      </c>
      <c r="N4" s="2" t="s">
        <v>1799</v>
      </c>
      <c r="O4" s="138">
        <v>0.6</v>
      </c>
      <c r="P4" s="2" t="s">
        <v>25</v>
      </c>
      <c r="Q4" s="2">
        <v>890</v>
      </c>
      <c r="R4" s="2" t="str">
        <f>CONCATENATE( C1,C4,CHAR(10), D1,D4,CHAR(10), E1,E4,CHAR(10), F1,F4,CHAR(10), G1,G4,CHAR(10), H1,H4,CHAR(10), I1,I4,CHAR(10), J1,J4,CHAR(10), K1,K4,CHAR(10), L1,L4,CHAR(10), M1,M4,CHAR(10), N1,N4,CHAR(10), O1,O4,CHAR(10), P1,P4,CHAR(10), )</f>
        <v xml:space="preserve">Тип динамика:ферромагнит
Материал корпуса:KSV 0.08
Материал катушки:CCAW VC
Мощность:25W RMS
Сопротивление:8 Ом
Внутренний диаметр:25.4 мм
Чувствительность:105 дБ
Диапазон частот:2 кГц – 20 кГц
Общий диаметр:100.0 мм
Глубина:85.0 мм
Размер магнита:70 х 10 мм
Крепление: катушкиМ 25.4
Масса нетто (кг):0.6
Диафрагма:Титановая мембрана
</v>
      </c>
      <c r="S4" s="140" t="s">
        <v>1827</v>
      </c>
      <c r="T4" s="2" t="str">
        <f t="shared" si="0"/>
        <v>MCF HDTW 25-17</v>
      </c>
      <c r="U4" s="2" t="str">
        <f t="shared" si="1"/>
        <v>Динамик высокой частоты MCF HDTW 25-17</v>
      </c>
      <c r="V4" s="2" t="s">
        <v>1840</v>
      </c>
      <c r="X4" s="2" t="s">
        <v>1837</v>
      </c>
      <c r="Y4" s="143" t="s">
        <v>1841</v>
      </c>
      <c r="Z4" s="143" t="s">
        <v>1842</v>
      </c>
      <c r="AA4" s="143" t="s">
        <v>1843</v>
      </c>
      <c r="AB4" s="143" t="s">
        <v>1844</v>
      </c>
      <c r="AC4" s="2" t="s">
        <v>1837</v>
      </c>
      <c r="AD4" s="2" t="s">
        <v>1838</v>
      </c>
      <c r="AE4" s="2" t="s">
        <v>1839</v>
      </c>
    </row>
    <row r="5" spans="1:31" ht="225" x14ac:dyDescent="0.25">
      <c r="A5" s="36">
        <v>4</v>
      </c>
      <c r="B5" s="2" t="s">
        <v>1809</v>
      </c>
      <c r="C5" s="2" t="s">
        <v>1805</v>
      </c>
      <c r="D5" s="2" t="s">
        <v>4</v>
      </c>
      <c r="E5" s="2" t="s">
        <v>6</v>
      </c>
      <c r="F5" s="2" t="s">
        <v>29</v>
      </c>
      <c r="G5" s="2" t="s">
        <v>10</v>
      </c>
      <c r="H5" s="2" t="s">
        <v>12</v>
      </c>
      <c r="I5" s="2" t="s">
        <v>30</v>
      </c>
      <c r="J5" s="2" t="s">
        <v>16</v>
      </c>
      <c r="K5" s="2" t="s">
        <v>31</v>
      </c>
      <c r="L5" s="2" t="s">
        <v>32</v>
      </c>
      <c r="M5" s="2" t="s">
        <v>33</v>
      </c>
      <c r="N5" s="2" t="s">
        <v>1799</v>
      </c>
      <c r="O5" s="138">
        <v>0.6</v>
      </c>
      <c r="P5" s="2" t="s">
        <v>25</v>
      </c>
      <c r="Q5" s="2">
        <v>2290</v>
      </c>
      <c r="R5" s="2" t="str">
        <f>CONCATENATE( C1,C5,CHAR(10), D1,D5,CHAR(10), E1,E5,CHAR(10), F1,F5,CHAR(10), G1,G5,CHAR(10), H1,H5,CHAR(10), I1,I5,CHAR(10), J1,J5,CHAR(10), K1,K5,CHAR(10), L1,L5,CHAR(10), M1,M5,CHAR(10), N1,N5,CHAR(10), O1,O5,CHAR(10), P1,P5,CHAR(10), )</f>
        <v xml:space="preserve">Тип динамика:неодимовый
Материал корпуса:KSV 0.08
Материал катушки:CCAW VC
Мощность:30W RMS
Сопротивление:8 Ом
Внутренний диаметр:25.4 мм
Чувствительность:95 дБ
Диапазон частот:2 кГц – 20 кГц
Общий диаметр:70.0 мм
Глубина:79.0 мм
Размер магнита:25 х 7 мм
Крепление: катушкиМ 25.4
Масса нетто (кг):0.6
Диафрагма:Титановая мембрана
</v>
      </c>
      <c r="S5" s="140" t="s">
        <v>1827</v>
      </c>
      <c r="T5" s="2" t="str">
        <f t="shared" si="0"/>
        <v>MCF HDTW 25-20</v>
      </c>
      <c r="U5" s="2" t="str">
        <f t="shared" si="1"/>
        <v>Динамик высокой частоты MCF HDTW 25-20</v>
      </c>
      <c r="V5" s="2" t="s">
        <v>1840</v>
      </c>
      <c r="X5" s="2" t="s">
        <v>1837</v>
      </c>
      <c r="Y5" s="143" t="s">
        <v>1841</v>
      </c>
      <c r="Z5" s="143" t="s">
        <v>1842</v>
      </c>
      <c r="AA5" s="143" t="s">
        <v>1843</v>
      </c>
      <c r="AB5" s="143" t="s">
        <v>1844</v>
      </c>
      <c r="AC5" s="2" t="s">
        <v>1837</v>
      </c>
      <c r="AD5" s="2" t="s">
        <v>1838</v>
      </c>
      <c r="AE5" s="2" t="s">
        <v>1839</v>
      </c>
    </row>
    <row r="6" spans="1:31" ht="225" x14ac:dyDescent="0.25">
      <c r="A6" s="36">
        <v>5</v>
      </c>
      <c r="B6" s="2" t="s">
        <v>1810</v>
      </c>
      <c r="C6" s="2" t="s">
        <v>338</v>
      </c>
      <c r="D6" s="2" t="s">
        <v>4</v>
      </c>
      <c r="E6" s="2" t="s">
        <v>6</v>
      </c>
      <c r="F6" s="2" t="s">
        <v>8</v>
      </c>
      <c r="G6" s="2" t="s">
        <v>10</v>
      </c>
      <c r="H6" s="2" t="s">
        <v>12</v>
      </c>
      <c r="I6" s="2" t="s">
        <v>30</v>
      </c>
      <c r="J6" s="2" t="s">
        <v>16</v>
      </c>
      <c r="K6" s="2" t="s">
        <v>34</v>
      </c>
      <c r="L6" s="2" t="s">
        <v>20</v>
      </c>
      <c r="M6" s="2" t="s">
        <v>22</v>
      </c>
      <c r="N6" s="2" t="s">
        <v>1799</v>
      </c>
      <c r="O6" s="138">
        <v>0.6</v>
      </c>
      <c r="P6" s="2" t="s">
        <v>25</v>
      </c>
      <c r="Q6" s="2">
        <v>790</v>
      </c>
      <c r="R6" s="2" t="str">
        <f>CONCATENATE( C1,C6,CHAR(10), D1,D6,CHAR(10), E1,E6,CHAR(10), F1,F6,CHAR(10), G1,G6,CHAR(10), H1,H6,CHAR(10), I1,I6,CHAR(10), J1,J6,CHAR(10), K1,K6,CHAR(10), L1,L6,CHAR(10), M1,M6,CHAR(10), N1,N6,CHAR(10), O1,O6,CHAR(10), P1,P6,CHAR(10), )</f>
        <v xml:space="preserve">Тип динамика:ферромагнит
Материал корпуса:KSV 0.08
Материал катушки:CCAW VC
Мощность:25W RMS
Сопротивление:8 Ом
Внутренний диаметр:25.4 мм
Чувствительность:95 дБ
Диапазон частот:2 кГц – 20 кГц
Общий диаметр:99.0 мм
Глубина:40.0 мм
Размер магнита:70 х 10 мм
Крепление: катушкиМ 25.4
Масса нетто (кг):0.6
Диафрагма:Титановая мембрана
</v>
      </c>
      <c r="S6" s="140" t="s">
        <v>1827</v>
      </c>
      <c r="T6" s="2" t="str">
        <f t="shared" si="0"/>
        <v>MCF HDTW 25-41</v>
      </c>
      <c r="U6" s="2" t="str">
        <f t="shared" si="1"/>
        <v>Динамик высокой частоты MCF HDTW 25-41</v>
      </c>
      <c r="V6" s="2" t="s">
        <v>1840</v>
      </c>
      <c r="X6" s="2" t="s">
        <v>1837</v>
      </c>
      <c r="Y6" s="143" t="s">
        <v>1841</v>
      </c>
      <c r="Z6" s="143" t="s">
        <v>1842</v>
      </c>
      <c r="AA6" s="143" t="s">
        <v>1843</v>
      </c>
      <c r="AB6" s="143" t="s">
        <v>1844</v>
      </c>
      <c r="AC6" s="2" t="s">
        <v>1837</v>
      </c>
      <c r="AD6" s="2" t="s">
        <v>1838</v>
      </c>
      <c r="AE6" s="2" t="s">
        <v>1839</v>
      </c>
    </row>
    <row r="7" spans="1:31" ht="225" x14ac:dyDescent="0.25">
      <c r="A7" s="36">
        <v>6</v>
      </c>
      <c r="B7" s="2" t="s">
        <v>1811</v>
      </c>
      <c r="C7" s="2" t="s">
        <v>338</v>
      </c>
      <c r="D7" s="2" t="s">
        <v>4</v>
      </c>
      <c r="E7" s="2" t="s">
        <v>6</v>
      </c>
      <c r="F7" s="2" t="s">
        <v>1801</v>
      </c>
      <c r="G7" s="2" t="s">
        <v>10</v>
      </c>
      <c r="H7" s="2" t="s">
        <v>35</v>
      </c>
      <c r="I7" s="2" t="s">
        <v>36</v>
      </c>
      <c r="J7" s="2" t="s">
        <v>37</v>
      </c>
      <c r="K7" s="2" t="s">
        <v>38</v>
      </c>
      <c r="L7" s="2" t="s">
        <v>39</v>
      </c>
      <c r="M7" s="2" t="s">
        <v>40</v>
      </c>
      <c r="N7" s="2" t="s">
        <v>51</v>
      </c>
      <c r="O7" s="138">
        <v>0.6</v>
      </c>
      <c r="P7" s="2" t="s">
        <v>25</v>
      </c>
      <c r="Q7" s="2">
        <v>1790</v>
      </c>
      <c r="R7" s="2" t="str">
        <f>CONCATENATE( C1,C7,CHAR(10), D1,D7,CHAR(10), E1,E7,CHAR(10), F1,F7,CHAR(10), G1,G7,CHAR(10), H1,H7,CHAR(10), I1,I7,CHAR(10), J1,J7,CHAR(10), K1,K7,CHAR(10), L1,L7,CHAR(10), M1,M7,CHAR(10), N1,N7,CHAR(10), O1,O7,CHAR(10), P1,P7,CHAR(10), )</f>
        <v xml:space="preserve">Тип динамика:ферромагнит
Материал корпуса:KSV 0.08
Материал катушки:CCAW VC
Мощность:40W RMS
Сопротивление:8 Ом
Внутренний диаметр:34.4 мм
Чувствительность:106 дБ
Диапазон частот:2 кГц – 17 кГц
Общий диаметр:90.0 мм
Глубина:52.0 мм
Размер магнита:90 х 15 мм 
Крепление: катушкиМ 34.4
Масса нетто (кг):0.6
Диафрагма:Титановая мембрана
</v>
      </c>
      <c r="S7" s="140" t="s">
        <v>1827</v>
      </c>
      <c r="T7" s="2" t="str">
        <f t="shared" si="0"/>
        <v>MCF HDYW 34-02</v>
      </c>
      <c r="U7" s="2" t="str">
        <f t="shared" si="1"/>
        <v>Динамик высокой частоты MCF HDYW 34-02</v>
      </c>
      <c r="V7" s="2" t="s">
        <v>1840</v>
      </c>
      <c r="X7" s="2" t="s">
        <v>1837</v>
      </c>
      <c r="Y7" s="143" t="s">
        <v>1841</v>
      </c>
      <c r="Z7" s="143" t="s">
        <v>1842</v>
      </c>
      <c r="AA7" s="143" t="s">
        <v>1843</v>
      </c>
      <c r="AB7" s="143" t="s">
        <v>1844</v>
      </c>
      <c r="AC7" s="2" t="s">
        <v>1837</v>
      </c>
      <c r="AD7" s="2" t="s">
        <v>1838</v>
      </c>
      <c r="AE7" s="2" t="s">
        <v>1839</v>
      </c>
    </row>
    <row r="8" spans="1:31" ht="225" x14ac:dyDescent="0.25">
      <c r="A8" s="36">
        <v>7</v>
      </c>
      <c r="B8" s="2" t="s">
        <v>1812</v>
      </c>
      <c r="C8" s="2" t="s">
        <v>338</v>
      </c>
      <c r="D8" s="2" t="s">
        <v>4</v>
      </c>
      <c r="E8" s="2" t="s">
        <v>6</v>
      </c>
      <c r="F8" s="2" t="s">
        <v>1802</v>
      </c>
      <c r="G8" s="2" t="s">
        <v>10</v>
      </c>
      <c r="H8" s="2" t="s">
        <v>85</v>
      </c>
      <c r="I8" s="2" t="s">
        <v>41</v>
      </c>
      <c r="J8" s="2" t="s">
        <v>86</v>
      </c>
      <c r="K8" s="2" t="s">
        <v>42</v>
      </c>
      <c r="L8" s="2" t="s">
        <v>43</v>
      </c>
      <c r="M8" s="2" t="s">
        <v>44</v>
      </c>
      <c r="N8" s="2" t="s">
        <v>1800</v>
      </c>
      <c r="O8" s="138">
        <v>2.4500000000000002</v>
      </c>
      <c r="P8" s="2" t="s">
        <v>25</v>
      </c>
      <c r="Q8" s="3">
        <v>2990</v>
      </c>
      <c r="R8" s="2" t="str">
        <f>CONCATENATE( C1,C8,CHAR(10), D1,D8,CHAR(10), E1,E8,CHAR(10), F1,F8,CHAR(10), G1,G8,CHAR(10), H1,H8,CHAR(10), I1,I8,CHAR(10), J1,J8,CHAR(10), K1,K8,CHAR(10), L1,L8,CHAR(10), M1,M8,CHAR(10), N1,N8,CHAR(10), O1,O8,CHAR(10), P1,P8,CHAR(10), )</f>
        <v xml:space="preserve">Тип динамика:ферромагнит
Материал корпуса:KSV 0.08
Материал катушки:CCAW VC
Мощность:150W RMS
Сопротивление:8 Ом
Внутренний диаметр:51.0 мм
Чувствительность:112 дБ
Диапазон частот:2.5 кГц – 20 кГц
Общий диаметр:137 мм
Глубина:75 мм
Размер магнита:15 x 135 мм
Крепление: катушкиМ 51
Масса нетто (кг):2.45
Диафрагма:Титановая мембрана
</v>
      </c>
      <c r="S8" s="140" t="s">
        <v>1827</v>
      </c>
      <c r="T8" s="2" t="str">
        <f t="shared" si="0"/>
        <v>MCF 22 (51.0)</v>
      </c>
      <c r="U8" s="2" t="str">
        <f t="shared" si="1"/>
        <v>Динамик высокой частоты MCF 22 (51.0)</v>
      </c>
      <c r="V8" s="2" t="s">
        <v>1840</v>
      </c>
      <c r="X8" s="2" t="s">
        <v>1837</v>
      </c>
      <c r="Y8" s="143" t="s">
        <v>1841</v>
      </c>
      <c r="Z8" s="143" t="s">
        <v>1842</v>
      </c>
      <c r="AA8" s="143" t="s">
        <v>1843</v>
      </c>
      <c r="AB8" s="143" t="s">
        <v>1844</v>
      </c>
      <c r="AC8" s="2" t="s">
        <v>1837</v>
      </c>
      <c r="AD8" s="2" t="s">
        <v>1838</v>
      </c>
      <c r="AE8" s="2" t="s">
        <v>1839</v>
      </c>
    </row>
    <row r="9" spans="1:31" ht="225" x14ac:dyDescent="0.25">
      <c r="A9" s="36">
        <v>8</v>
      </c>
      <c r="B9" s="2">
        <v>25.43</v>
      </c>
      <c r="C9" s="2" t="s">
        <v>1805</v>
      </c>
      <c r="D9" s="2" t="s">
        <v>4</v>
      </c>
      <c r="E9" s="2" t="s">
        <v>6</v>
      </c>
      <c r="F9" s="2" t="s">
        <v>29</v>
      </c>
      <c r="G9" s="2" t="s">
        <v>10</v>
      </c>
      <c r="H9" s="2" t="s">
        <v>12</v>
      </c>
      <c r="I9" s="2" t="s">
        <v>30</v>
      </c>
      <c r="J9" s="2" t="s">
        <v>16</v>
      </c>
      <c r="K9" s="2" t="s">
        <v>31</v>
      </c>
      <c r="L9" s="2" t="s">
        <v>32</v>
      </c>
      <c r="M9" s="2" t="s">
        <v>33</v>
      </c>
      <c r="N9" s="2" t="s">
        <v>1799</v>
      </c>
      <c r="O9" s="138">
        <v>0.6</v>
      </c>
      <c r="P9" s="2" t="s">
        <v>25</v>
      </c>
      <c r="Q9" s="3">
        <v>1990</v>
      </c>
      <c r="R9" s="2" t="str">
        <f>CONCATENATE( C1,C9,CHAR(10), D1,D9,CHAR(10), E1,E9,CHAR(10), F1,F9,CHAR(10), G1,G9,CHAR(10), H1,H9,CHAR(10), I1,I9,CHAR(10), J1,J9,CHAR(10), K1,K9,CHAR(10), L1,L9,CHAR(10), M1,M9,CHAR(10), N1,N9,CHAR(10), O1,O9,CHAR(10), P1,P9,CHAR(10), )</f>
        <v xml:space="preserve">Тип динамика:неодимовый
Материал корпуса:KSV 0.08
Материал катушки:CCAW VC
Мощность:30W RMS
Сопротивление:8 Ом
Внутренний диаметр:25.4 мм
Чувствительность:95 дБ
Диапазон частот:2 кГц – 20 кГц
Общий диаметр:70.0 мм
Глубина:79.0 мм
Размер магнита:25 х 7 мм
Крепление: катушкиМ 25.4
Масса нетто (кг):0.6
Диафрагма:Титановая мембрана
</v>
      </c>
      <c r="S9" s="140" t="s">
        <v>1827</v>
      </c>
      <c r="T9" s="2" t="str">
        <f t="shared" si="0"/>
        <v>MCF 25.43</v>
      </c>
      <c r="U9" s="2" t="str">
        <f t="shared" si="1"/>
        <v>Динамик высокой частоты MCF 25.43</v>
      </c>
      <c r="V9" s="2" t="s">
        <v>1840</v>
      </c>
      <c r="X9" s="2" t="s">
        <v>1837</v>
      </c>
      <c r="Y9" s="143" t="s">
        <v>1841</v>
      </c>
      <c r="Z9" s="143" t="s">
        <v>1842</v>
      </c>
      <c r="AA9" s="143" t="s">
        <v>1843</v>
      </c>
      <c r="AB9" s="143" t="s">
        <v>1844</v>
      </c>
      <c r="AC9" s="2" t="s">
        <v>1837</v>
      </c>
      <c r="AD9" s="2" t="s">
        <v>1838</v>
      </c>
      <c r="AE9" s="2" t="s">
        <v>1839</v>
      </c>
    </row>
    <row r="10" spans="1:31" ht="225" x14ac:dyDescent="0.25">
      <c r="A10" s="36">
        <v>9</v>
      </c>
      <c r="B10" s="2">
        <v>34.119999999999997</v>
      </c>
      <c r="C10" s="2" t="s">
        <v>1805</v>
      </c>
      <c r="D10" s="2" t="s">
        <v>4</v>
      </c>
      <c r="E10" s="2" t="s">
        <v>6</v>
      </c>
      <c r="F10" s="2" t="s">
        <v>45</v>
      </c>
      <c r="G10" s="2" t="s">
        <v>10</v>
      </c>
      <c r="H10" s="2" t="s">
        <v>35</v>
      </c>
      <c r="I10" s="2" t="s">
        <v>46</v>
      </c>
      <c r="J10" s="2" t="s">
        <v>47</v>
      </c>
      <c r="K10" s="2" t="s">
        <v>48</v>
      </c>
      <c r="L10" s="2" t="s">
        <v>49</v>
      </c>
      <c r="M10" s="2" t="s">
        <v>50</v>
      </c>
      <c r="N10" s="2" t="s">
        <v>51</v>
      </c>
      <c r="O10" s="138">
        <v>0.93</v>
      </c>
      <c r="P10" s="2" t="s">
        <v>25</v>
      </c>
      <c r="Q10" s="2">
        <v>2790</v>
      </c>
      <c r="R10" s="2" t="str">
        <f>CONCATENATE( C1,C10,CHAR(10), D1,D10,CHAR(10), E1,E10,CHAR(10), F1,F10,CHAR(10), G1,G10,CHAR(10), H1,H10,CHAR(10), I1,I10,CHAR(10), J1,J10,CHAR(10), K1,K10,CHAR(10), L1,L10,CHAR(10), M1,M10,CHAR(10), N1,N10,CHAR(10), O1,O10,CHAR(10), P1,P10,CHAR(10), )</f>
        <v xml:space="preserve">Тип динамика:неодимовый
Материал корпуса:KSV 0.08
Материал катушки:CCAW VC
Мощность:40 Вт
Сопротивление:8 Ом
Внутренний диаметр:34.4 мм
Чувствительность:108 дБ
Диапазон частот:1 кГц – 20 кГц
Общий диаметр:88 мм
Глубина:45 мм
Размер магнита:8 x 88 мм
Крепление: катушкиМ 34.4
Масса нетто (кг):0.93
Диафрагма:Титановая мембрана
</v>
      </c>
      <c r="S10" s="140" t="s">
        <v>1827</v>
      </c>
      <c r="T10" s="2" t="str">
        <f t="shared" si="0"/>
        <v>MCF 34.12</v>
      </c>
      <c r="U10" s="2" t="str">
        <f t="shared" si="1"/>
        <v>Динамик высокой частоты MCF 34.12</v>
      </c>
      <c r="V10" s="2" t="s">
        <v>1840</v>
      </c>
      <c r="X10" s="2" t="s">
        <v>1837</v>
      </c>
      <c r="Y10" s="143" t="s">
        <v>1841</v>
      </c>
      <c r="Z10" s="143" t="s">
        <v>1842</v>
      </c>
      <c r="AA10" s="143" t="s">
        <v>1843</v>
      </c>
      <c r="AB10" s="143" t="s">
        <v>1844</v>
      </c>
      <c r="AC10" s="2" t="s">
        <v>1837</v>
      </c>
      <c r="AD10" s="2" t="s">
        <v>1838</v>
      </c>
      <c r="AE10" s="2" t="s">
        <v>1839</v>
      </c>
    </row>
    <row r="11" spans="1:31" ht="225" x14ac:dyDescent="0.25">
      <c r="A11" s="36">
        <v>10</v>
      </c>
      <c r="B11" s="2" t="s">
        <v>1813</v>
      </c>
      <c r="C11" s="2" t="s">
        <v>338</v>
      </c>
      <c r="D11" s="2" t="s">
        <v>4</v>
      </c>
      <c r="E11" s="2" t="s">
        <v>6</v>
      </c>
      <c r="F11" s="2" t="s">
        <v>1803</v>
      </c>
      <c r="G11" s="2" t="s">
        <v>10</v>
      </c>
      <c r="H11" s="2" t="s">
        <v>52</v>
      </c>
      <c r="I11" s="2" t="s">
        <v>36</v>
      </c>
      <c r="J11" s="2" t="s">
        <v>16</v>
      </c>
      <c r="K11" s="2" t="s">
        <v>53</v>
      </c>
      <c r="L11" s="2" t="s">
        <v>54</v>
      </c>
      <c r="M11" s="2" t="s">
        <v>55</v>
      </c>
      <c r="N11" s="2" t="s">
        <v>70</v>
      </c>
      <c r="O11" s="138">
        <v>1.7</v>
      </c>
      <c r="P11" s="2" t="s">
        <v>25</v>
      </c>
      <c r="Q11" s="2">
        <v>1990</v>
      </c>
      <c r="R11" s="2" t="str">
        <f>CONCATENATE( C1,C11,CHAR(10), D1,D11,CHAR(10), E1,E11,CHAR(10), F1,F11,CHAR(10), G1,G11,CHAR(10), H1,H11,CHAR(10), I1,I11,CHAR(10), J1,J11,CHAR(10), K1,K11,CHAR(10), L1,L11,CHAR(10), M1,M11,CHAR(10), N1,N11,CHAR(10), O1,O11,CHAR(10), P1,P11,CHAR(10), )</f>
        <v xml:space="preserve">Тип динамика:ферромагнит
Материал корпуса:KSV 0.08
Материал катушки:CCAW VC
Мощность:60W RMS
Сопротивление:8 Ом
Внутренний диаметр:44.4 мм
Чувствительность:106 дБ
Диапазон частот:2 кГц – 20 кГц
Общий диаметр:120.0 мм
Глубина:50.0 мм
Размер магнита:120 х 15 мм
Крепление: катушкиМ 44.4
Масса нетто (кг):1.7
Диафрагма:Титановая мембрана
</v>
      </c>
      <c r="S11" s="140" t="s">
        <v>1827</v>
      </c>
      <c r="T11" s="2" t="str">
        <f t="shared" si="0"/>
        <v>MCF HDYW44-04</v>
      </c>
      <c r="U11" s="2" t="str">
        <f t="shared" si="1"/>
        <v>Динамик высокой частоты MCF HDYW44-04</v>
      </c>
      <c r="V11" s="2" t="s">
        <v>1840</v>
      </c>
      <c r="X11" s="2" t="s">
        <v>1837</v>
      </c>
      <c r="Y11" s="143" t="s">
        <v>1841</v>
      </c>
      <c r="Z11" s="143" t="s">
        <v>1842</v>
      </c>
      <c r="AA11" s="143" t="s">
        <v>1843</v>
      </c>
      <c r="AB11" s="143" t="s">
        <v>1844</v>
      </c>
      <c r="AC11" s="2" t="s">
        <v>1837</v>
      </c>
      <c r="AD11" s="2" t="s">
        <v>1838</v>
      </c>
      <c r="AE11" s="2" t="s">
        <v>1839</v>
      </c>
    </row>
    <row r="12" spans="1:31" ht="225" x14ac:dyDescent="0.25">
      <c r="A12" s="36">
        <v>11</v>
      </c>
      <c r="B12" s="2" t="s">
        <v>1814</v>
      </c>
      <c r="C12" s="2" t="s">
        <v>1805</v>
      </c>
      <c r="D12" s="2" t="s">
        <v>4</v>
      </c>
      <c r="E12" s="2" t="s">
        <v>6</v>
      </c>
      <c r="F12" s="2" t="s">
        <v>1803</v>
      </c>
      <c r="G12" s="2" t="s">
        <v>10</v>
      </c>
      <c r="H12" s="2" t="s">
        <v>52</v>
      </c>
      <c r="I12" s="2" t="s">
        <v>46</v>
      </c>
      <c r="J12" s="2" t="s">
        <v>37</v>
      </c>
      <c r="K12" s="2" t="s">
        <v>38</v>
      </c>
      <c r="L12" s="2" t="s">
        <v>56</v>
      </c>
      <c r="M12" s="2" t="s">
        <v>57</v>
      </c>
      <c r="N12" s="2" t="s">
        <v>70</v>
      </c>
      <c r="O12" s="138">
        <v>0.93</v>
      </c>
      <c r="P12" s="2" t="s">
        <v>25</v>
      </c>
      <c r="Q12" s="2">
        <v>2990</v>
      </c>
      <c r="R12" s="2" t="str">
        <f>CONCATENATE( C1,C12,CHAR(10), D1,D12,CHAR(10), E1,E12,CHAR(10), F1,F12,CHAR(10), G1,G12,CHAR(10), H1,H12,CHAR(10), I1,I12,CHAR(10), J1,J12,CHAR(10), K1,K12,CHAR(10), L1,L12,CHAR(10), M1,M12,CHAR(10), N1,N12,CHAR(10), O1,O12,CHAR(10), P1,P12,CHAR(10), )</f>
        <v xml:space="preserve">Тип динамика:неодимовый
Материал корпуса:KSV 0.08
Материал катушки:CCAW VC
Мощность:60W RMS
Сопротивление:8 Ом
Внутренний диаметр:44.4 мм
Чувствительность:108 дБ
Диапазон частот:2 кГц – 17 кГц
Общий диаметр:90.0 мм
Глубина:49.0 мм
Размер магнита:90 х 8 мм
Крепление: катушкиМ 44.4
Масса нетто (кг):0.93
Диафрагма:Титановая мембрана
</v>
      </c>
      <c r="S12" s="140" t="s">
        <v>1827</v>
      </c>
      <c r="T12" s="2" t="str">
        <f t="shared" si="0"/>
        <v>MCF HDYW 44-20B</v>
      </c>
      <c r="U12" s="2" t="str">
        <f t="shared" si="1"/>
        <v>Динамик высокой частоты MCF HDYW 44-20B</v>
      </c>
      <c r="V12" s="2" t="s">
        <v>1840</v>
      </c>
      <c r="X12" s="2" t="s">
        <v>1837</v>
      </c>
      <c r="Y12" s="143" t="s">
        <v>1841</v>
      </c>
      <c r="Z12" s="143" t="s">
        <v>1842</v>
      </c>
      <c r="AA12" s="143" t="s">
        <v>1843</v>
      </c>
      <c r="AB12" s="143" t="s">
        <v>1844</v>
      </c>
      <c r="AC12" s="2" t="s">
        <v>1837</v>
      </c>
      <c r="AD12" s="2" t="s">
        <v>1838</v>
      </c>
      <c r="AE12" s="2" t="s">
        <v>1839</v>
      </c>
    </row>
    <row r="13" spans="1:31" ht="225" x14ac:dyDescent="0.25">
      <c r="A13" s="36">
        <v>12</v>
      </c>
      <c r="B13" s="2" t="s">
        <v>1815</v>
      </c>
      <c r="C13" s="2" t="s">
        <v>1805</v>
      </c>
      <c r="D13" s="2" t="s">
        <v>4</v>
      </c>
      <c r="E13" s="2" t="s">
        <v>6</v>
      </c>
      <c r="F13" s="2" t="s">
        <v>29</v>
      </c>
      <c r="G13" s="2" t="s">
        <v>10</v>
      </c>
      <c r="H13" s="2" t="s">
        <v>12</v>
      </c>
      <c r="I13" s="2" t="s">
        <v>58</v>
      </c>
      <c r="J13" s="2" t="s">
        <v>16</v>
      </c>
      <c r="K13" s="2" t="s">
        <v>32</v>
      </c>
      <c r="L13" s="2" t="s">
        <v>39</v>
      </c>
      <c r="M13" s="2" t="s">
        <v>33</v>
      </c>
      <c r="N13" s="2" t="s">
        <v>1799</v>
      </c>
      <c r="O13" s="138">
        <v>0.52</v>
      </c>
      <c r="P13" s="2" t="s">
        <v>25</v>
      </c>
      <c r="Q13" s="2">
        <v>1990</v>
      </c>
      <c r="R13" s="2" t="str">
        <f>CONCATENATE( C1,C13,CHAR(10), D1,D13,CHAR(10), E1,E13,CHAR(10), F1,F13,CHAR(10), G1,G13,CHAR(10), H1,H13,CHAR(10), I1,I13,CHAR(10), J1,J13,CHAR(10), K1,K13,CHAR(10), L1,L13,CHAR(10), M1,M13,CHAR(10), N1,N13,CHAR(10), O1,O13,CHAR(10), P1,P13,CHAR(10), )</f>
        <v xml:space="preserve">Тип динамика:неодимовый
Материал корпуса:KSV 0.08
Материал катушки:CCAW VC
Мощность:30W RMS
Сопротивление:8 Ом
Внутренний диаметр:25.4 мм
Чувствительность:110 дБ
Диапазон частот:2 кГц – 20 кГц
Общий диаметр:79.0 мм
Глубина:52.0 мм
Размер магнита:25 х 7 мм
Крепление: катушкиМ 25.4
Масса нетто (кг):0.52
Диафрагма:Титановая мембрана
</v>
      </c>
      <c r="S13" s="140" t="s">
        <v>1827</v>
      </c>
      <c r="T13" s="2" t="str">
        <f t="shared" si="0"/>
        <v>MCF HDTW 25-08G</v>
      </c>
      <c r="U13" s="2" t="str">
        <f t="shared" si="1"/>
        <v>Динамик высокой частоты MCF HDTW 25-08G</v>
      </c>
      <c r="V13" s="2" t="s">
        <v>1840</v>
      </c>
      <c r="X13" s="2" t="s">
        <v>1837</v>
      </c>
      <c r="Y13" s="143" t="s">
        <v>1841</v>
      </c>
      <c r="Z13" s="143" t="s">
        <v>1842</v>
      </c>
      <c r="AA13" s="143" t="s">
        <v>1843</v>
      </c>
      <c r="AB13" s="143" t="s">
        <v>1844</v>
      </c>
      <c r="AC13" s="2" t="s">
        <v>1837</v>
      </c>
      <c r="AD13" s="2" t="s">
        <v>1838</v>
      </c>
      <c r="AE13" s="2" t="s">
        <v>1839</v>
      </c>
    </row>
    <row r="14" spans="1:31" ht="225" x14ac:dyDescent="0.25">
      <c r="A14" s="36">
        <v>13</v>
      </c>
      <c r="B14" s="2" t="s">
        <v>1816</v>
      </c>
      <c r="C14" s="2" t="s">
        <v>338</v>
      </c>
      <c r="D14" s="2" t="s">
        <v>4</v>
      </c>
      <c r="E14" s="2" t="s">
        <v>6</v>
      </c>
      <c r="F14" s="2" t="s">
        <v>1804</v>
      </c>
      <c r="G14" s="2" t="s">
        <v>10</v>
      </c>
      <c r="H14" s="2" t="s">
        <v>12</v>
      </c>
      <c r="I14" s="2" t="s">
        <v>14</v>
      </c>
      <c r="J14" s="2" t="s">
        <v>16</v>
      </c>
      <c r="K14" s="2" t="s">
        <v>18</v>
      </c>
      <c r="L14" s="2" t="s">
        <v>20</v>
      </c>
      <c r="M14" s="2" t="s">
        <v>22</v>
      </c>
      <c r="N14" s="2" t="s">
        <v>1799</v>
      </c>
      <c r="O14" s="138">
        <v>0.6</v>
      </c>
      <c r="P14" s="2" t="s">
        <v>25</v>
      </c>
      <c r="Q14" s="2">
        <v>490</v>
      </c>
      <c r="R14" s="2" t="str">
        <f>CONCATENATE( C1,C14,CHAR(10), D1,D14,CHAR(10), E1,E14,CHAR(10), F1,F14,CHAR(10), G1,G14,CHAR(10), H1,H14,CHAR(10), I1,I14,CHAR(10), J1,J14,CHAR(10), K1,K14,CHAR(10), L1,L14,CHAR(10), M1,M14,CHAR(10), N1,N14,CHAR(10), O1,O14,CHAR(10), P1,P14,CHAR(10), )</f>
        <v xml:space="preserve">Тип динамика:ферромагнит
Материал корпуса:KSV 0.08
Материал катушки:CCAW VC
Мощность:15W RMS
Сопротивление:8 Ом
Внутренний диаметр:25.4 мм
Чувствительность:105 дБ
Диапазон частот:2 кГц – 20 кГц
Общий диаметр:95.0 мм
Глубина:40.0 мм
Размер магнита:70 х 10 мм
Крепление: катушкиМ 25.4
Масса нетто (кг):0.6
Диафрагма:Титановая мембрана
</v>
      </c>
      <c r="S14" s="140" t="s">
        <v>1827</v>
      </c>
      <c r="T14" s="2" t="str">
        <f t="shared" si="0"/>
        <v>MCF 25mm</v>
      </c>
      <c r="U14" s="2" t="str">
        <f t="shared" si="1"/>
        <v>Динамик высокой частоты MCF 25mm</v>
      </c>
      <c r="V14" s="2" t="s">
        <v>1840</v>
      </c>
      <c r="X14" s="2" t="s">
        <v>1837</v>
      </c>
      <c r="Y14" s="143" t="s">
        <v>1841</v>
      </c>
      <c r="Z14" s="143" t="s">
        <v>1842</v>
      </c>
      <c r="AA14" s="143" t="s">
        <v>1843</v>
      </c>
      <c r="AB14" s="143" t="s">
        <v>1844</v>
      </c>
      <c r="AC14" s="2" t="s">
        <v>1837</v>
      </c>
      <c r="AD14" s="2" t="s">
        <v>1838</v>
      </c>
      <c r="AE14" s="2" t="s">
        <v>1839</v>
      </c>
    </row>
    <row r="15" spans="1:31" ht="225" x14ac:dyDescent="0.25">
      <c r="A15" s="36">
        <v>14</v>
      </c>
      <c r="B15" s="2" t="s">
        <v>1817</v>
      </c>
      <c r="C15" s="2" t="s">
        <v>338</v>
      </c>
      <c r="D15" s="2" t="s">
        <v>4</v>
      </c>
      <c r="E15" s="2" t="s">
        <v>6</v>
      </c>
      <c r="F15" s="2" t="s">
        <v>59</v>
      </c>
      <c r="G15" s="2" t="s">
        <v>10</v>
      </c>
      <c r="H15" s="2" t="s">
        <v>87</v>
      </c>
      <c r="I15" s="2" t="s">
        <v>46</v>
      </c>
      <c r="J15" s="2" t="s">
        <v>47</v>
      </c>
      <c r="K15" s="2" t="s">
        <v>60</v>
      </c>
      <c r="L15" s="2" t="s">
        <v>61</v>
      </c>
      <c r="M15" s="2" t="s">
        <v>62</v>
      </c>
      <c r="N15" s="2" t="s">
        <v>63</v>
      </c>
      <c r="O15" s="138">
        <v>2.4500000000000002</v>
      </c>
      <c r="P15" s="2" t="s">
        <v>64</v>
      </c>
      <c r="Q15" s="3">
        <v>2490</v>
      </c>
      <c r="R15" s="2" t="str">
        <f>CONCATENATE( C1,C15,CHAR(10), D1,D15,CHAR(10), E1,E15,CHAR(10), F1,F15,CHAR(10), G1,G15,CHAR(10), H1,H15,CHAR(10), I1,I15,CHAR(10), J1,J15,CHAR(10), K1,K15,CHAR(10), L1,L15,CHAR(10), M1,M15,CHAR(10), N1,N15,CHAR(10), O1,O15,CHAR(10), P1,P15,CHAR(10), )</f>
        <v xml:space="preserve">Тип динамика:ферромагнит
Материал корпуса:KSV 0.08
Материал катушки:CCAW VC
Мощность:80 Вт
Сопротивление:8 Ом
Внутренний диаметр:51.2 мм
Чувствительность:108 дБ
Диапазон частот:1 кГц – 20 кГц
Общий диаметр:132 мм
Глубина:60 мм
Размер магнита:17 x 132 мм
Крепление: катушкиМ 51.2
Масса нетто (кг):2.45
Диафрагма:Титановая плёнка
</v>
      </c>
      <c r="S15" s="140" t="s">
        <v>1827</v>
      </c>
      <c r="T15" s="2" t="str">
        <f t="shared" si="0"/>
        <v>MCF TW 510</v>
      </c>
      <c r="U15" s="2" t="str">
        <f t="shared" si="1"/>
        <v>Динамик высокой частоты MCF TW 510</v>
      </c>
      <c r="V15" s="2" t="s">
        <v>1840</v>
      </c>
      <c r="X15" s="2" t="s">
        <v>1837</v>
      </c>
      <c r="Y15" s="143" t="s">
        <v>1841</v>
      </c>
      <c r="Z15" s="143" t="s">
        <v>1842</v>
      </c>
      <c r="AA15" s="143" t="s">
        <v>1843</v>
      </c>
      <c r="AB15" s="143" t="s">
        <v>1844</v>
      </c>
      <c r="AC15" s="2" t="s">
        <v>1837</v>
      </c>
      <c r="AD15" s="2" t="s">
        <v>1838</v>
      </c>
      <c r="AE15" s="2" t="s">
        <v>1839</v>
      </c>
    </row>
    <row r="16" spans="1:31" ht="225" x14ac:dyDescent="0.25">
      <c r="A16" s="36">
        <v>15</v>
      </c>
      <c r="B16" s="2" t="s">
        <v>1818</v>
      </c>
      <c r="C16" s="2" t="s">
        <v>338</v>
      </c>
      <c r="D16" s="2" t="s">
        <v>4</v>
      </c>
      <c r="E16" s="2" t="s">
        <v>6</v>
      </c>
      <c r="F16" s="2" t="s">
        <v>65</v>
      </c>
      <c r="G16" s="2" t="s">
        <v>10</v>
      </c>
      <c r="H16" s="2" t="s">
        <v>52</v>
      </c>
      <c r="I16" s="2" t="s">
        <v>66</v>
      </c>
      <c r="J16" s="2" t="s">
        <v>47</v>
      </c>
      <c r="K16" s="2" t="s">
        <v>67</v>
      </c>
      <c r="L16" s="2" t="s">
        <v>68</v>
      </c>
      <c r="M16" s="2" t="s">
        <v>69</v>
      </c>
      <c r="N16" s="2" t="s">
        <v>70</v>
      </c>
      <c r="O16" s="138">
        <v>1.65</v>
      </c>
      <c r="P16" s="2" t="s">
        <v>64</v>
      </c>
      <c r="Q16" s="3">
        <v>1990</v>
      </c>
      <c r="R16" s="2" t="str">
        <f>CONCATENATE( C1,C16,CHAR(10), D1,D16,CHAR(10), E1,E16,CHAR(10), F1,F16,CHAR(10), G1,G16,CHAR(10), H1,H16,CHAR(10), I1,I16,CHAR(10), J1,J16,CHAR(10), K1,K16,CHAR(10), L1,L16,CHAR(10), M1,M16,CHAR(10), N1,N16,CHAR(10), O1,O16,CHAR(10), P1,P16,CHAR(10), )</f>
        <v xml:space="preserve">Тип динамика:ферромагнит
Материал корпуса:KSV 0.08
Материал катушки:CCAW VC
Мощность:60 Вт
Сопротивление:8 Ом
Внутренний диаметр:44.4 мм
Чувствительность:107 дБ
Диапазон частот:1 кГц – 20 кГц
Общий диаметр:122 мм
Глубина:50 мм
Размер магнита:15 x 121 мм
Крепление: катушкиМ 44.4
Масса нетто (кг):1.65
Диафрагма:Титановая плёнка
</v>
      </c>
      <c r="S16" s="140" t="s">
        <v>1827</v>
      </c>
      <c r="T16" s="2" t="str">
        <f t="shared" si="0"/>
        <v>MCF TW 44</v>
      </c>
      <c r="U16" s="2" t="str">
        <f t="shared" si="1"/>
        <v>Динамик высокой частоты MCF TW 44</v>
      </c>
      <c r="V16" s="2" t="s">
        <v>1840</v>
      </c>
      <c r="X16" s="2" t="s">
        <v>1837</v>
      </c>
      <c r="Y16" s="143" t="s">
        <v>1841</v>
      </c>
      <c r="Z16" s="143" t="s">
        <v>1842</v>
      </c>
      <c r="AA16" s="143" t="s">
        <v>1843</v>
      </c>
      <c r="AB16" s="143" t="s">
        <v>1844</v>
      </c>
      <c r="AC16" s="2" t="s">
        <v>1837</v>
      </c>
      <c r="AD16" s="2" t="s">
        <v>1838</v>
      </c>
      <c r="AE16" s="2" t="s">
        <v>1839</v>
      </c>
    </row>
    <row r="17" spans="1:31" ht="225" x14ac:dyDescent="0.25">
      <c r="A17" s="36">
        <v>16</v>
      </c>
      <c r="B17" s="2" t="s">
        <v>1819</v>
      </c>
      <c r="C17" s="2" t="s">
        <v>338</v>
      </c>
      <c r="D17" s="2" t="s">
        <v>4</v>
      </c>
      <c r="E17" s="2" t="s">
        <v>6</v>
      </c>
      <c r="F17" s="2" t="s">
        <v>71</v>
      </c>
      <c r="G17" s="2" t="s">
        <v>10</v>
      </c>
      <c r="H17" s="2" t="s">
        <v>35</v>
      </c>
      <c r="I17" s="2" t="s">
        <v>14</v>
      </c>
      <c r="J17" s="2" t="s">
        <v>47</v>
      </c>
      <c r="K17" s="2" t="s">
        <v>72</v>
      </c>
      <c r="L17" s="2" t="s">
        <v>68</v>
      </c>
      <c r="M17" s="2" t="s">
        <v>73</v>
      </c>
      <c r="N17" s="2" t="s">
        <v>51</v>
      </c>
      <c r="O17" s="138">
        <v>0.9</v>
      </c>
      <c r="P17" s="2" t="s">
        <v>64</v>
      </c>
      <c r="Q17" s="2" t="s">
        <v>80</v>
      </c>
      <c r="R17" s="2" t="str">
        <f>CONCATENATE( C1,C17,CHAR(10), D1,D17,CHAR(10), E1,E17,CHAR(10), F1,F17,CHAR(10), G1,G17,CHAR(10), H1,H17,CHAR(10), I1,I17,CHAR(10), J1,J17,CHAR(10), K1,K17,CHAR(10), L1,L17,CHAR(10), M1,M17,CHAR(10), N1,N17,CHAR(10), O1,O17,CHAR(10), P1,P17,CHAR(10), )</f>
        <v xml:space="preserve">Тип динамика:ферромагнит
Материал корпуса:KSV 0.08
Материал катушки:CCAW VC
Мощность:35 Вт
Сопротивление:8 Ом
Внутренний диаметр:34.4 мм
Чувствительность:105 дБ
Диапазон частот:1 кГц – 20 кГц
Общий диаметр:90 мм
Глубина:50 мм
Размер магнита:15 x 90 мм
Крепление: катушкиМ 34.4
Масса нетто (кг):0.9
Диафрагма:Титановая плёнка
</v>
      </c>
      <c r="S17" s="140" t="s">
        <v>1827</v>
      </c>
      <c r="T17" s="2" t="str">
        <f t="shared" si="0"/>
        <v>MCF TW 350</v>
      </c>
      <c r="U17" s="2" t="str">
        <f t="shared" si="1"/>
        <v>Динамик высокой частоты MCF TW 350</v>
      </c>
      <c r="V17" s="2" t="s">
        <v>1840</v>
      </c>
      <c r="X17" s="2" t="s">
        <v>1837</v>
      </c>
      <c r="Y17" s="143" t="s">
        <v>1841</v>
      </c>
      <c r="Z17" s="143" t="s">
        <v>1842</v>
      </c>
      <c r="AA17" s="143" t="s">
        <v>1843</v>
      </c>
      <c r="AB17" s="143" t="s">
        <v>1844</v>
      </c>
      <c r="AC17" s="2" t="s">
        <v>1837</v>
      </c>
      <c r="AD17" s="2" t="s">
        <v>1838</v>
      </c>
      <c r="AE17" s="2" t="s">
        <v>1839</v>
      </c>
    </row>
    <row r="18" spans="1:31" ht="225" x14ac:dyDescent="0.25">
      <c r="A18" s="36">
        <v>17</v>
      </c>
      <c r="B18" s="2" t="s">
        <v>1820</v>
      </c>
      <c r="C18" s="2" t="s">
        <v>338</v>
      </c>
      <c r="D18" s="2" t="s">
        <v>4</v>
      </c>
      <c r="E18" s="2" t="s">
        <v>6</v>
      </c>
      <c r="F18" s="2" t="s">
        <v>59</v>
      </c>
      <c r="G18" s="2" t="s">
        <v>10</v>
      </c>
      <c r="H18" s="2" t="s">
        <v>87</v>
      </c>
      <c r="I18" s="2" t="s">
        <v>46</v>
      </c>
      <c r="J18" s="2" t="s">
        <v>47</v>
      </c>
      <c r="K18" s="2" t="s">
        <v>60</v>
      </c>
      <c r="L18" s="2" t="s">
        <v>61</v>
      </c>
      <c r="M18" s="2" t="s">
        <v>62</v>
      </c>
      <c r="N18" s="2" t="s">
        <v>63</v>
      </c>
      <c r="O18" s="138">
        <v>2.4500000000000002</v>
      </c>
      <c r="P18" s="2" t="s">
        <v>64</v>
      </c>
      <c r="Q18" s="2" t="s">
        <v>81</v>
      </c>
      <c r="R18" s="2" t="str">
        <f>CONCATENATE( C1,C18,CHAR(10), D1,D18,CHAR(10), E1,E18,CHAR(10), F1,F18,CHAR(10), G1,G18,CHAR(10), H1,H18,CHAR(10), I1,I18,CHAR(10), J1,J18,CHAR(10), K1,K18,CHAR(10), L1,L18,CHAR(10), M1,M18,CHAR(10), N1,N18,CHAR(10), O1,O18,CHAR(10), P1,P18,CHAR(10), )</f>
        <v xml:space="preserve">Тип динамика:ферромагнит
Материал корпуса:KSV 0.08
Материал катушки:CCAW VC
Мощность:80 Вт
Сопротивление:8 Ом
Внутренний диаметр:51.2 мм
Чувствительность:108 дБ
Диапазон частот:1 кГц – 20 кГц
Общий диаметр:132 мм
Глубина:60 мм
Размер магнита:17 x 132 мм
Крепление: катушкиМ 51.2
Масса нетто (кг):2.45
Диафрагма:Титановая плёнка
</v>
      </c>
      <c r="S18" s="140" t="s">
        <v>1827</v>
      </c>
      <c r="T18" s="2" t="str">
        <f t="shared" si="0"/>
        <v>MCF TD510</v>
      </c>
      <c r="U18" s="2" t="str">
        <f t="shared" si="1"/>
        <v>Динамик высокой частоты MCF TD510</v>
      </c>
      <c r="V18" s="2" t="s">
        <v>1840</v>
      </c>
      <c r="X18" s="2" t="s">
        <v>1837</v>
      </c>
      <c r="Y18" s="143" t="s">
        <v>1841</v>
      </c>
      <c r="Z18" s="143" t="s">
        <v>1842</v>
      </c>
      <c r="AA18" s="143" t="s">
        <v>1843</v>
      </c>
      <c r="AB18" s="143" t="s">
        <v>1844</v>
      </c>
      <c r="AC18" s="2" t="s">
        <v>1837</v>
      </c>
      <c r="AD18" s="2" t="s">
        <v>1838</v>
      </c>
      <c r="AE18" s="2" t="s">
        <v>1839</v>
      </c>
    </row>
    <row r="19" spans="1:31" ht="225" x14ac:dyDescent="0.25">
      <c r="A19" s="36">
        <v>18</v>
      </c>
      <c r="B19" s="2" t="s">
        <v>1821</v>
      </c>
      <c r="C19" s="2" t="s">
        <v>338</v>
      </c>
      <c r="D19" s="2" t="s">
        <v>4</v>
      </c>
      <c r="E19" s="2" t="s">
        <v>6</v>
      </c>
      <c r="F19" s="2" t="s">
        <v>65</v>
      </c>
      <c r="G19" s="2" t="s">
        <v>10</v>
      </c>
      <c r="H19" s="2" t="s">
        <v>52</v>
      </c>
      <c r="I19" s="2" t="s">
        <v>66</v>
      </c>
      <c r="J19" s="2" t="s">
        <v>47</v>
      </c>
      <c r="K19" s="2" t="s">
        <v>67</v>
      </c>
      <c r="L19" s="2" t="s">
        <v>68</v>
      </c>
      <c r="M19" s="2" t="s">
        <v>69</v>
      </c>
      <c r="N19" s="2" t="s">
        <v>70</v>
      </c>
      <c r="O19" s="139">
        <v>1.65</v>
      </c>
      <c r="P19" s="2" t="s">
        <v>64</v>
      </c>
      <c r="Q19" s="2" t="s">
        <v>82</v>
      </c>
      <c r="R19" s="2" t="str">
        <f>CONCATENATE( C1,C19,CHAR(10), D1,D19,CHAR(10), E1,E19,CHAR(10), F1,F19,CHAR(10), G1,G19,CHAR(10), H1,H19,CHAR(10), I1,I19,CHAR(10), J1,J19,CHAR(10), K1,K19,CHAR(10), L1,L19,CHAR(10), M1,M19,CHAR(10), N1,N19,CHAR(10), O1,O19,CHAR(10), P1,P19,CHAR(10), )</f>
        <v xml:space="preserve">Тип динамика:ферромагнит
Материал корпуса:KSV 0.08
Материал катушки:CCAW VC
Мощность:60 Вт
Сопротивление:8 Ом
Внутренний диаметр:44.4 мм
Чувствительность:107 дБ
Диапазон частот:1 кГц – 20 кГц
Общий диаметр:122 мм
Глубина:50 мм
Размер магнита:15 x 121 мм
Крепление: катушкиМ 44.4
Масса нетто (кг):1.65
Диафрагма:Титановая плёнка
</v>
      </c>
      <c r="S19" s="140" t="s">
        <v>1827</v>
      </c>
      <c r="T19" s="2" t="str">
        <f t="shared" si="0"/>
        <v>MCF TD 440</v>
      </c>
      <c r="U19" s="2" t="str">
        <f t="shared" si="1"/>
        <v>Динамик высокой частоты MCF TD 440</v>
      </c>
      <c r="V19" s="2" t="s">
        <v>1840</v>
      </c>
      <c r="X19" s="2" t="s">
        <v>1837</v>
      </c>
      <c r="Y19" s="143" t="s">
        <v>1841</v>
      </c>
      <c r="Z19" s="143" t="s">
        <v>1842</v>
      </c>
      <c r="AA19" s="143" t="s">
        <v>1843</v>
      </c>
      <c r="AB19" s="143" t="s">
        <v>1844</v>
      </c>
      <c r="AC19" s="2" t="s">
        <v>1837</v>
      </c>
      <c r="AD19" s="2" t="s">
        <v>1838</v>
      </c>
      <c r="AE19" s="2" t="s">
        <v>1839</v>
      </c>
    </row>
    <row r="20" spans="1:31" ht="225" x14ac:dyDescent="0.25">
      <c r="A20" s="36">
        <v>19</v>
      </c>
      <c r="B20" s="2" t="s">
        <v>1822</v>
      </c>
      <c r="C20" s="2" t="s">
        <v>338</v>
      </c>
      <c r="D20" s="2" t="s">
        <v>4</v>
      </c>
      <c r="E20" s="2" t="s">
        <v>6</v>
      </c>
      <c r="F20" s="2" t="s">
        <v>71</v>
      </c>
      <c r="G20" s="2" t="s">
        <v>10</v>
      </c>
      <c r="H20" s="2" t="s">
        <v>35</v>
      </c>
      <c r="I20" s="2" t="s">
        <v>14</v>
      </c>
      <c r="J20" s="2" t="s">
        <v>47</v>
      </c>
      <c r="K20" s="2" t="s">
        <v>72</v>
      </c>
      <c r="L20" s="2" t="s">
        <v>68</v>
      </c>
      <c r="M20" s="2" t="s">
        <v>73</v>
      </c>
      <c r="N20" s="2" t="s">
        <v>51</v>
      </c>
      <c r="O20" s="138">
        <v>0.9</v>
      </c>
      <c r="P20" s="2" t="s">
        <v>64</v>
      </c>
      <c r="Q20" s="2" t="s">
        <v>83</v>
      </c>
      <c r="R20" s="2" t="str">
        <f>CONCATENATE( C1,C20,CHAR(10), D1,D20,CHAR(10), E1,E20,CHAR(10), F1,F20,CHAR(10), G1,G20,CHAR(10), H1,H20,CHAR(10), I1,I20,CHAR(10), J1,J20,CHAR(10), K1,K20,CHAR(10), L1,L20,CHAR(10), M1,M20,CHAR(10), N1,N20,CHAR(10), O1,O20,CHAR(10), P1,P20,CHAR(10), )</f>
        <v xml:space="preserve">Тип динамика:ферромагнит
Материал корпуса:KSV 0.08
Материал катушки:CCAW VC
Мощность:35 Вт
Сопротивление:8 Ом
Внутренний диаметр:34.4 мм
Чувствительность:105 дБ
Диапазон частот:1 кГц – 20 кГц
Общий диаметр:90 мм
Глубина:50 мм
Размер магнита:15 x 90 мм
Крепление: катушкиМ 34.4
Масса нетто (кг):0.9
Диафрагма:Титановая плёнка
</v>
      </c>
      <c r="S20" s="140" t="s">
        <v>1827</v>
      </c>
      <c r="T20" s="2" t="str">
        <f t="shared" si="0"/>
        <v>MCF TD 350</v>
      </c>
      <c r="U20" s="2" t="str">
        <f t="shared" si="1"/>
        <v>Динамик высокой частоты MCF TD 350</v>
      </c>
      <c r="V20" s="2" t="s">
        <v>1840</v>
      </c>
      <c r="X20" s="2" t="s">
        <v>1837</v>
      </c>
      <c r="Y20" s="143" t="s">
        <v>1841</v>
      </c>
      <c r="Z20" s="143" t="s">
        <v>1842</v>
      </c>
      <c r="AA20" s="143" t="s">
        <v>1843</v>
      </c>
      <c r="AB20" s="143" t="s">
        <v>1844</v>
      </c>
      <c r="AC20" s="2" t="s">
        <v>1837</v>
      </c>
      <c r="AD20" s="2" t="s">
        <v>1838</v>
      </c>
      <c r="AE20" s="2" t="s">
        <v>1839</v>
      </c>
    </row>
    <row r="21" spans="1:31" ht="225" x14ac:dyDescent="0.25">
      <c r="A21" s="36">
        <v>20</v>
      </c>
      <c r="B21" s="2" t="s">
        <v>1823</v>
      </c>
      <c r="C21" s="2" t="s">
        <v>1805</v>
      </c>
      <c r="D21" s="2" t="s">
        <v>4</v>
      </c>
      <c r="E21" s="2" t="s">
        <v>6</v>
      </c>
      <c r="F21" s="2" t="s">
        <v>59</v>
      </c>
      <c r="G21" s="2" t="s">
        <v>10</v>
      </c>
      <c r="H21" s="2" t="s">
        <v>87</v>
      </c>
      <c r="I21" s="2" t="s">
        <v>41</v>
      </c>
      <c r="J21" s="2" t="s">
        <v>86</v>
      </c>
      <c r="K21" s="2" t="s">
        <v>74</v>
      </c>
      <c r="L21" s="2" t="s">
        <v>75</v>
      </c>
      <c r="M21" s="2" t="s">
        <v>76</v>
      </c>
      <c r="N21" s="2" t="s">
        <v>63</v>
      </c>
      <c r="O21" s="138">
        <v>1.8</v>
      </c>
      <c r="P21" s="2" t="s">
        <v>64</v>
      </c>
      <c r="Q21" s="2" t="s">
        <v>84</v>
      </c>
      <c r="R21" s="2" t="str">
        <f>CONCATENATE( C1,C21,CHAR(10), D1,D21,CHAR(10), E1,E21,CHAR(10), F1,F21,CHAR(10), G1,G21,CHAR(10), H1,H21,CHAR(10), I1,I21,CHAR(10), J1,J21,CHAR(10), K1,K21,CHAR(10), L1,L21,CHAR(10), M1,M21,CHAR(10), N1,N21,CHAR(10), O1,O21,CHAR(10), P1,P21,CHAR(10), )</f>
        <v xml:space="preserve">Тип динамика:неодимовый
Материал корпуса:KSV 0.08
Материал катушки:CCAW VC
Мощность:80 Вт
Сопротивление:8 Ом
Внутренний диаметр:51.2 мм
Чувствительность:112 дБ
Диапазон частот:2.5 кГц – 20 кГц
Общий диаметр:131 мм
Глубина:56  мм
Размер магнита:8 x 130 мм
Крепление: катушкиМ 51.2
Масса нетто (кг):1.8
Диафрагма:Титановая плёнка
</v>
      </c>
      <c r="S21" s="140" t="s">
        <v>1827</v>
      </c>
      <c r="T21" s="2" t="str">
        <f t="shared" si="0"/>
        <v>MCF ND510</v>
      </c>
      <c r="U21" s="2" t="str">
        <f t="shared" si="1"/>
        <v>Динамик высокой частоты MCF ND510</v>
      </c>
      <c r="V21" s="2" t="s">
        <v>1840</v>
      </c>
      <c r="X21" s="2" t="s">
        <v>1837</v>
      </c>
      <c r="Y21" s="143" t="s">
        <v>1841</v>
      </c>
      <c r="Z21" s="143" t="s">
        <v>1842</v>
      </c>
      <c r="AA21" s="143" t="s">
        <v>1843</v>
      </c>
      <c r="AB21" s="143" t="s">
        <v>1844</v>
      </c>
      <c r="AC21" s="2" t="s">
        <v>1837</v>
      </c>
      <c r="AD21" s="2" t="s">
        <v>1838</v>
      </c>
      <c r="AE21" s="2" t="s">
        <v>1839</v>
      </c>
    </row>
    <row r="22" spans="1:31" ht="60" x14ac:dyDescent="0.25">
      <c r="A22" s="36">
        <v>21</v>
      </c>
      <c r="B22" s="2" t="s">
        <v>1824</v>
      </c>
      <c r="C22" s="2" t="s">
        <v>1805</v>
      </c>
      <c r="D22" s="2" t="s">
        <v>4</v>
      </c>
      <c r="E22" s="2" t="s">
        <v>6</v>
      </c>
      <c r="F22" s="2" t="s">
        <v>65</v>
      </c>
      <c r="G22" s="2" t="s">
        <v>10</v>
      </c>
      <c r="H22" s="2" t="s">
        <v>52</v>
      </c>
      <c r="I22" s="2" t="s">
        <v>58</v>
      </c>
      <c r="J22" s="2" t="s">
        <v>47</v>
      </c>
      <c r="K22" s="2" t="s">
        <v>77</v>
      </c>
      <c r="L22" s="2" t="s">
        <v>78</v>
      </c>
      <c r="M22" s="2" t="s">
        <v>79</v>
      </c>
      <c r="N22" s="2" t="s">
        <v>70</v>
      </c>
      <c r="O22" s="139">
        <v>1.31</v>
      </c>
      <c r="P22" s="2" t="s">
        <v>64</v>
      </c>
      <c r="Q22" s="2" t="s">
        <v>81</v>
      </c>
      <c r="S22" s="140" t="s">
        <v>1827</v>
      </c>
      <c r="T22" s="2" t="str">
        <f t="shared" si="0"/>
        <v>MCF ND 440</v>
      </c>
      <c r="U22" s="2" t="str">
        <f t="shared" si="1"/>
        <v>Динамик высокой частоты MCF ND 440</v>
      </c>
      <c r="V22" s="2" t="s">
        <v>1840</v>
      </c>
      <c r="X22" s="2" t="s">
        <v>1837</v>
      </c>
      <c r="Y22" s="143" t="s">
        <v>1841</v>
      </c>
      <c r="Z22" s="143" t="s">
        <v>1842</v>
      </c>
      <c r="AA22" s="143" t="s">
        <v>1843</v>
      </c>
      <c r="AB22" s="143" t="s">
        <v>1844</v>
      </c>
      <c r="AC22" s="2" t="s">
        <v>1837</v>
      </c>
      <c r="AD22" s="2" t="s">
        <v>1838</v>
      </c>
      <c r="AE22" s="2" t="s">
        <v>1839</v>
      </c>
    </row>
    <row r="36" spans="2:2" x14ac:dyDescent="0.25">
      <c r="B36" s="4"/>
    </row>
    <row r="38" spans="2:2" x14ac:dyDescent="0.25">
      <c r="B38" s="4"/>
    </row>
    <row r="42" spans="2:2" x14ac:dyDescent="0.25">
      <c r="B42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34"/>
  <sheetViews>
    <sheetView zoomScale="70" zoomScaleNormal="70" workbookViewId="0">
      <pane ySplit="1" topLeftCell="A3" activePane="bottomLeft" state="frozen"/>
      <selection pane="bottomLeft" activeCell="B1" sqref="B1:AB16"/>
    </sheetView>
  </sheetViews>
  <sheetFormatPr defaultColWidth="21.28515625" defaultRowHeight="52.5" customHeight="1" x14ac:dyDescent="0.25"/>
  <cols>
    <col min="1" max="1" width="6" style="15" customWidth="1"/>
    <col min="2" max="2" width="21.28515625" style="15"/>
    <col min="3" max="13" width="0" style="15" hidden="1" customWidth="1"/>
    <col min="14" max="14" width="21.28515625" style="15"/>
    <col min="15" max="15" width="52.5703125" style="15" customWidth="1"/>
    <col min="16" max="16" width="21.28515625" style="24"/>
    <col min="17" max="16384" width="21.28515625" style="15"/>
  </cols>
  <sheetData>
    <row r="1" spans="1:28" s="42" customFormat="1" ht="37.5" customHeight="1" x14ac:dyDescent="0.25">
      <c r="A1" s="42" t="s">
        <v>636</v>
      </c>
      <c r="B1" s="45" t="s">
        <v>0</v>
      </c>
      <c r="C1" s="46" t="s">
        <v>2</v>
      </c>
      <c r="D1" s="46" t="s">
        <v>276</v>
      </c>
      <c r="E1" s="46" t="s">
        <v>340</v>
      </c>
      <c r="F1" s="46" t="s">
        <v>278</v>
      </c>
      <c r="G1" s="46" t="s">
        <v>279</v>
      </c>
      <c r="H1" s="46" t="s">
        <v>281</v>
      </c>
      <c r="I1" s="46" t="s">
        <v>283</v>
      </c>
      <c r="J1" s="46" t="s">
        <v>285</v>
      </c>
      <c r="K1" s="46" t="s">
        <v>287</v>
      </c>
      <c r="L1" s="46" t="s">
        <v>342</v>
      </c>
      <c r="M1" s="46" t="s">
        <v>13</v>
      </c>
      <c r="N1" s="46" t="s">
        <v>375</v>
      </c>
      <c r="O1" s="46" t="s">
        <v>1651</v>
      </c>
      <c r="P1" s="47" t="s">
        <v>1</v>
      </c>
      <c r="Q1" s="141" t="s">
        <v>1826</v>
      </c>
      <c r="R1" s="142" t="s">
        <v>1828</v>
      </c>
      <c r="S1" s="142" t="s">
        <v>1829</v>
      </c>
      <c r="T1" s="142" t="s">
        <v>1830</v>
      </c>
      <c r="U1" s="142" t="s">
        <v>1831</v>
      </c>
      <c r="V1" s="142" t="s">
        <v>1832</v>
      </c>
      <c r="W1" s="142" t="s">
        <v>1833</v>
      </c>
      <c r="X1" s="142" t="s">
        <v>1834</v>
      </c>
      <c r="Y1" s="142" t="s">
        <v>1835</v>
      </c>
      <c r="Z1" s="142" t="s">
        <v>1836</v>
      </c>
      <c r="AA1" s="35" t="s">
        <v>1845</v>
      </c>
      <c r="AB1" s="35"/>
    </row>
    <row r="2" spans="1:28" ht="220.5" x14ac:dyDescent="0.25">
      <c r="A2" s="48">
        <v>1</v>
      </c>
      <c r="B2" s="1" t="s">
        <v>274</v>
      </c>
      <c r="C2" s="13" t="s">
        <v>275</v>
      </c>
      <c r="D2" s="13" t="s">
        <v>277</v>
      </c>
      <c r="E2" s="13" t="s">
        <v>637</v>
      </c>
      <c r="F2" s="13" t="s">
        <v>10</v>
      </c>
      <c r="G2" s="13" t="s">
        <v>280</v>
      </c>
      <c r="H2" s="13" t="s">
        <v>282</v>
      </c>
      <c r="I2" s="13" t="s">
        <v>284</v>
      </c>
      <c r="J2" s="13" t="s">
        <v>286</v>
      </c>
      <c r="K2" s="13" t="s">
        <v>72</v>
      </c>
      <c r="L2" s="13" t="s">
        <v>288</v>
      </c>
      <c r="M2" s="13" t="s">
        <v>289</v>
      </c>
      <c r="N2" s="13">
        <v>1.98</v>
      </c>
      <c r="O2" s="13" t="str">
        <f>CONCATENATE( C1,C2,CHAR(10), D1,D2,CHAR(10), E1,E2,CHAR(10), F1,F2,CHAR(10), G1,G2,CHAR(10), H1,H2,CHAR(10), I1,I2,CHAR(10), J1,J2,CHAR(10), K1,K2,CHAR(10), L1,L2,CHAR(10), M1,M2,CHAR(10), N1,N2,CHAR(10), )</f>
        <v xml:space="preserve">Тип динамика:широкополосный
Диаметр динамика:8"
Диаметр звуковой катушки:35 мм     1.5"
Номинальное сопротивление:8 Ом
Тип магнита:феромагнит
Материал гофры:плотная структурированная целлюлоза
Материал корзины:металл
Мощность RMS:100Вт
Высота динамика:90 мм
Рабочий диапазон частот:120Гц-5кГц
Чувствительность:91 dB (1Вт/1 м)
Вес:1.98
</v>
      </c>
      <c r="P2" s="24" t="s">
        <v>83</v>
      </c>
      <c r="Q2" s="140" t="s">
        <v>1827</v>
      </c>
      <c r="R2" s="2" t="str">
        <f>CONCATENATE(B2," ",C2,)</f>
        <v>MCF F8 (100W) широкополосный</v>
      </c>
      <c r="S2" s="2" t="str">
        <f>CONCATENATE(AC2,R2)</f>
        <v>MCF F8 (100W) широкополосный</v>
      </c>
      <c r="T2" s="2" t="s">
        <v>1840</v>
      </c>
      <c r="U2" s="2"/>
      <c r="V2" s="2" t="s">
        <v>1837</v>
      </c>
      <c r="W2" s="143" t="s">
        <v>1841</v>
      </c>
      <c r="X2" s="143" t="s">
        <v>1842</v>
      </c>
      <c r="Y2" s="143" t="s">
        <v>1843</v>
      </c>
      <c r="Z2" s="143" t="s">
        <v>1844</v>
      </c>
      <c r="AA2" s="2" t="s">
        <v>1837</v>
      </c>
      <c r="AB2" s="2" t="s">
        <v>1837</v>
      </c>
    </row>
    <row r="3" spans="1:28" ht="52.5" customHeight="1" x14ac:dyDescent="0.25">
      <c r="A3" s="48">
        <v>2</v>
      </c>
      <c r="B3" s="1" t="s">
        <v>290</v>
      </c>
      <c r="C3" s="13" t="s">
        <v>275</v>
      </c>
      <c r="D3" s="13" t="s">
        <v>277</v>
      </c>
      <c r="E3" s="13" t="s">
        <v>637</v>
      </c>
      <c r="F3" s="13" t="s">
        <v>10</v>
      </c>
      <c r="G3" s="13" t="s">
        <v>280</v>
      </c>
      <c r="H3" s="13" t="s">
        <v>282</v>
      </c>
      <c r="I3" s="13" t="s">
        <v>284</v>
      </c>
      <c r="J3" s="13" t="s">
        <v>291</v>
      </c>
      <c r="K3" s="13" t="s">
        <v>292</v>
      </c>
      <c r="L3" s="13" t="s">
        <v>293</v>
      </c>
      <c r="M3" s="13" t="s">
        <v>289</v>
      </c>
      <c r="N3" s="13">
        <v>2.1</v>
      </c>
      <c r="O3" s="13" t="str">
        <f>CONCATENATE( C1,C3,CHAR(10), D1,D3,CHAR(10), E1,E3,CHAR(10), F1,F3,CHAR(10), G1,G3,CHAR(10), H1,H3,CHAR(10), I1,I3,CHAR(10), J1,J3,CHAR(10), K1,K3,CHAR(10), L1,L3,CHAR(10), M1,M3,CHAR(10), N1,N3,CHAR(10), )</f>
        <v xml:space="preserve">Тип динамика:широкополосный
Диаметр динамика:8"
Диаметр звуковой катушки:35 мм     1.5"
Номинальное сопротивление:8 Ом
Тип магнита:феромагнит
Материал гофры:плотная структурированная целлюлоза
Материал корзины:металл
Мощность RMS:150Вт
Высота динамика:95 мм
Рабочий диапазон частот:90Гц-4кГц
Чувствительность:91 dB (1Вт/1 м)
Вес:2.1
</v>
      </c>
      <c r="P3" s="24" t="s">
        <v>351</v>
      </c>
      <c r="Q3" s="140" t="s">
        <v>1827</v>
      </c>
      <c r="R3" s="2" t="str">
        <f t="shared" ref="R3:R16" si="0">CONCATENATE(B3," ",C3,)</f>
        <v>MCF F8 (150W) широкополосный</v>
      </c>
      <c r="S3" s="2" t="str">
        <f t="shared" ref="S3:S16" si="1">CONCATENATE(AC3,R3)</f>
        <v>MCF F8 (150W) широкополосный</v>
      </c>
      <c r="T3" s="2" t="s">
        <v>1840</v>
      </c>
      <c r="V3" s="2" t="s">
        <v>1837</v>
      </c>
      <c r="W3" s="143" t="s">
        <v>1841</v>
      </c>
      <c r="X3" s="143" t="s">
        <v>1842</v>
      </c>
      <c r="Y3" s="143" t="s">
        <v>1843</v>
      </c>
      <c r="Z3" s="143" t="s">
        <v>1844</v>
      </c>
      <c r="AA3" s="2" t="s">
        <v>1837</v>
      </c>
      <c r="AB3" s="2" t="s">
        <v>1837</v>
      </c>
    </row>
    <row r="4" spans="1:28" ht="52.5" customHeight="1" x14ac:dyDescent="0.25">
      <c r="A4" s="48">
        <v>3</v>
      </c>
      <c r="B4" s="1" t="s">
        <v>294</v>
      </c>
      <c r="C4" s="13" t="s">
        <v>275</v>
      </c>
      <c r="D4" s="13" t="s">
        <v>295</v>
      </c>
      <c r="E4" s="13" t="s">
        <v>638</v>
      </c>
      <c r="F4" s="13" t="s">
        <v>10</v>
      </c>
      <c r="G4" s="13" t="s">
        <v>296</v>
      </c>
      <c r="H4" s="13" t="s">
        <v>282</v>
      </c>
      <c r="I4" s="13" t="s">
        <v>297</v>
      </c>
      <c r="J4" s="13" t="s">
        <v>298</v>
      </c>
      <c r="K4" s="13" t="s">
        <v>67</v>
      </c>
      <c r="L4" s="13" t="s">
        <v>299</v>
      </c>
      <c r="M4" s="13" t="s">
        <v>300</v>
      </c>
      <c r="N4" s="13">
        <v>2.5</v>
      </c>
      <c r="O4" s="13" t="str">
        <f>CONCATENATE( C1,C4,CHAR(10), D1,D4,CHAR(10), E1,E4,CHAR(10), F1,F4,CHAR(10), G1,G4,CHAR(10), H1,H4,CHAR(10), I1,I4,CHAR(10), J1,J4,CHAR(10), K1,K4,CHAR(10), L1,L4,CHAR(10), M1,M4,CHAR(10), N1,N4,CHAR(10), )</f>
        <v xml:space="preserve">Тип динамика:широкополосный
Диаметр динамика:10"
Диаметр звуковой катушки:65.5мм      2.5"
Номинальное сопротивление:8 Ом
Тип магнита:неодим
Материал гофры:плотная структурированная целлюлоза
Материал корзины:литой аллюминий
Мощность RMS:350Вт
Высота динамика:122 мм
Рабочий диапазон частот:80Гц-6кГц
Чувствительность:96 dB (1Вт/1 м)
Вес:2.5
</v>
      </c>
      <c r="P4" s="24" t="s">
        <v>352</v>
      </c>
      <c r="Q4" s="140" t="s">
        <v>1827</v>
      </c>
      <c r="R4" s="2" t="str">
        <f t="shared" si="0"/>
        <v>MCF N10 широкополосный</v>
      </c>
      <c r="S4" s="2" t="str">
        <f t="shared" si="1"/>
        <v>MCF N10 широкополосный</v>
      </c>
      <c r="T4" s="2" t="s">
        <v>1840</v>
      </c>
      <c r="V4" s="2" t="s">
        <v>1837</v>
      </c>
      <c r="W4" s="143" t="s">
        <v>1841</v>
      </c>
      <c r="X4" s="143" t="s">
        <v>1842</v>
      </c>
      <c r="Y4" s="143" t="s">
        <v>1843</v>
      </c>
      <c r="Z4" s="143" t="s">
        <v>1844</v>
      </c>
      <c r="AA4" s="2" t="s">
        <v>1837</v>
      </c>
      <c r="AB4" s="2" t="s">
        <v>1837</v>
      </c>
    </row>
    <row r="5" spans="1:28" ht="52.5" customHeight="1" x14ac:dyDescent="0.25">
      <c r="A5" s="48">
        <v>4</v>
      </c>
      <c r="B5" s="1" t="s">
        <v>301</v>
      </c>
      <c r="C5" s="13" t="s">
        <v>302</v>
      </c>
      <c r="D5" s="13" t="s">
        <v>295</v>
      </c>
      <c r="E5" s="13" t="s">
        <v>639</v>
      </c>
      <c r="F5" s="13" t="s">
        <v>10</v>
      </c>
      <c r="G5" s="13" t="s">
        <v>296</v>
      </c>
      <c r="H5" s="13" t="s">
        <v>282</v>
      </c>
      <c r="I5" s="13" t="s">
        <v>297</v>
      </c>
      <c r="J5" s="13" t="s">
        <v>303</v>
      </c>
      <c r="K5" s="13" t="s">
        <v>304</v>
      </c>
      <c r="L5" s="13" t="s">
        <v>305</v>
      </c>
      <c r="M5" s="13" t="s">
        <v>300</v>
      </c>
      <c r="N5" s="13">
        <v>3.5</v>
      </c>
      <c r="O5" s="13" t="str">
        <f>CONCATENATE( C1,C5,CHAR(10), D1,D5,CHAR(10), E1,E5,CHAR(10), F1,F5,CHAR(10), G1,G5,CHAR(10), H1,H5,CHAR(10), I1,I5,CHAR(10), J1,J5,CHAR(10), K1,K5,CHAR(10), L1,L5,CHAR(10), M1,M5,CHAR(10), N1,N5,CHAR(10), )</f>
        <v xml:space="preserve">Тип динамика:низкочастотный
Диаметр динамика:10"
Диаметр звуковой катушки:75.5 мм   3"
Номинальное сопротивление:8 Ом
Тип магнита:неодим
Материал гофры:плотная структурированная целлюлоза
Материал корзины:литой аллюминий
Мощность RMS:500 Вт
Высота динамика:155 мм
Рабочий диапазон частот:70Гц-3кГц
Чувствительность:96 dB (1Вт/1 м)
Вес:3.5
</v>
      </c>
      <c r="P5" s="24" t="s">
        <v>353</v>
      </c>
      <c r="Q5" s="140" t="s">
        <v>1827</v>
      </c>
      <c r="R5" s="2" t="str">
        <f t="shared" si="0"/>
        <v>MCF N10-2 низкочастотный</v>
      </c>
      <c r="S5" s="2" t="str">
        <f t="shared" si="1"/>
        <v>MCF N10-2 низкочастотный</v>
      </c>
      <c r="T5" s="2" t="s">
        <v>1840</v>
      </c>
      <c r="V5" s="2" t="s">
        <v>1837</v>
      </c>
      <c r="W5" s="143" t="s">
        <v>1841</v>
      </c>
      <c r="X5" s="143" t="s">
        <v>1842</v>
      </c>
      <c r="Y5" s="143" t="s">
        <v>1843</v>
      </c>
      <c r="Z5" s="143" t="s">
        <v>1844</v>
      </c>
      <c r="AA5" s="2" t="s">
        <v>1837</v>
      </c>
      <c r="AB5" s="2" t="s">
        <v>1837</v>
      </c>
    </row>
    <row r="6" spans="1:28" ht="52.5" customHeight="1" x14ac:dyDescent="0.25">
      <c r="A6" s="48">
        <v>5</v>
      </c>
      <c r="B6" s="1" t="s">
        <v>306</v>
      </c>
      <c r="C6" s="13" t="s">
        <v>275</v>
      </c>
      <c r="D6" s="13" t="s">
        <v>295</v>
      </c>
      <c r="E6" s="13" t="s">
        <v>640</v>
      </c>
      <c r="F6" s="13" t="s">
        <v>10</v>
      </c>
      <c r="G6" s="13" t="s">
        <v>280</v>
      </c>
      <c r="H6" s="13" t="s">
        <v>282</v>
      </c>
      <c r="I6" s="13" t="s">
        <v>284</v>
      </c>
      <c r="J6" s="13" t="s">
        <v>307</v>
      </c>
      <c r="K6" s="13" t="s">
        <v>77</v>
      </c>
      <c r="L6" s="13" t="s">
        <v>308</v>
      </c>
      <c r="M6" s="13" t="s">
        <v>647</v>
      </c>
      <c r="N6" s="13">
        <v>2.5</v>
      </c>
      <c r="O6" s="13" t="str">
        <f>CONCATENATE( C1,C6,CHAR(10), D1,D6,CHAR(10), E1,E6,CHAR(10), F1,F6,CHAR(10), G1,G6,CHAR(10), H1,H6,CHAR(10), I1,I6,CHAR(10), J1,J6,CHAR(10), K1,K6,CHAR(10), L1,L6,CHAR(10), M1,M6,CHAR(10), N1,N6,CHAR(10), )</f>
        <v xml:space="preserve">Тип динамика:широкополосный
Диаметр динамика:10"
Диаметр звуковой катушки:51.1 мм   2"
Номинальное сопротивление:8 Ом
Тип магнита:феромагнит
Материал гофры:плотная структурированная целлюлоза
Материал корзины:металл
Мощность RMS:200 Вт
Высота динамика:115 мм
Рабочий диапазон частот:80Гц-4кГц
Чувствительность:93.9 dB (1Вт/1 м)
Вес:2.5
</v>
      </c>
      <c r="P6" s="24" t="s">
        <v>81</v>
      </c>
      <c r="Q6" s="140" t="s">
        <v>1827</v>
      </c>
      <c r="R6" s="2" t="str">
        <f t="shared" si="0"/>
        <v>MCF F10J широкополосный</v>
      </c>
      <c r="S6" s="2" t="str">
        <f t="shared" si="1"/>
        <v>MCF F10J широкополосный</v>
      </c>
      <c r="T6" s="2" t="s">
        <v>1840</v>
      </c>
      <c r="V6" s="2" t="s">
        <v>1837</v>
      </c>
      <c r="W6" s="143" t="s">
        <v>1841</v>
      </c>
      <c r="X6" s="143" t="s">
        <v>1842</v>
      </c>
      <c r="Y6" s="143" t="s">
        <v>1843</v>
      </c>
      <c r="Z6" s="143" t="s">
        <v>1844</v>
      </c>
      <c r="AA6" s="2" t="s">
        <v>1837</v>
      </c>
      <c r="AB6" s="2" t="s">
        <v>1837</v>
      </c>
    </row>
    <row r="7" spans="1:28" ht="52.5" customHeight="1" x14ac:dyDescent="0.25">
      <c r="A7" s="48">
        <v>6</v>
      </c>
      <c r="B7" s="1" t="s">
        <v>309</v>
      </c>
      <c r="C7" s="13" t="s">
        <v>275</v>
      </c>
      <c r="D7" s="13" t="s">
        <v>310</v>
      </c>
      <c r="E7" s="13" t="s">
        <v>641</v>
      </c>
      <c r="F7" s="13" t="s">
        <v>10</v>
      </c>
      <c r="G7" s="13" t="s">
        <v>280</v>
      </c>
      <c r="H7" s="13" t="s">
        <v>282</v>
      </c>
      <c r="I7" s="13" t="s">
        <v>284</v>
      </c>
      <c r="J7" s="13" t="s">
        <v>311</v>
      </c>
      <c r="K7" s="13" t="s">
        <v>312</v>
      </c>
      <c r="L7" s="13" t="s">
        <v>313</v>
      </c>
      <c r="M7" s="13" t="s">
        <v>648</v>
      </c>
      <c r="N7" s="13">
        <v>3.16</v>
      </c>
      <c r="O7" s="13" t="str">
        <f>CONCATENATE( C1,C7,CHAR(10), D1,D7,CHAR(10), E1,E7,CHAR(10), F1,F7,CHAR(10), G1,G7,CHAR(10), H1,H7,CHAR(10), I1,I7,CHAR(10), J1,J7,CHAR(10), K1,K7,CHAR(10), L1,L7,CHAR(10), M1,M7,CHAR(10), N1,N7,CHAR(10), )</f>
        <v xml:space="preserve">Тип динамика:широкополосный
Диаметр динамика:12"
Диаметр звуковой катушки:51.1мм    2"
Номинальное сопротивление:8 Ом
Тип магнита:феромагнит
Материал гофры:плотная структурированная целлюлоза
Материал корзины:металл
Мощность RMS:200Вт
Высота динамика:124мм
Рабочий диапазон частот:80Гц-5кГц
Чувствительность:94.1dB (1Вт/1 м)
Вес:3.16
</v>
      </c>
      <c r="P7" s="24" t="s">
        <v>354</v>
      </c>
      <c r="Q7" s="140" t="s">
        <v>1827</v>
      </c>
      <c r="R7" s="2" t="str">
        <f t="shared" si="0"/>
        <v>MCF F-12J широкополосный</v>
      </c>
      <c r="S7" s="2" t="str">
        <f t="shared" si="1"/>
        <v>MCF F-12J широкополосный</v>
      </c>
      <c r="T7" s="2" t="s">
        <v>1840</v>
      </c>
      <c r="V7" s="2" t="s">
        <v>1837</v>
      </c>
      <c r="W7" s="143" t="s">
        <v>1841</v>
      </c>
      <c r="X7" s="143" t="s">
        <v>1842</v>
      </c>
      <c r="Y7" s="143" t="s">
        <v>1843</v>
      </c>
      <c r="Z7" s="143" t="s">
        <v>1844</v>
      </c>
      <c r="AA7" s="2" t="s">
        <v>1837</v>
      </c>
      <c r="AB7" s="2" t="s">
        <v>1837</v>
      </c>
    </row>
    <row r="8" spans="1:28" ht="52.5" customHeight="1" x14ac:dyDescent="0.25">
      <c r="A8" s="48">
        <v>7</v>
      </c>
      <c r="B8" s="1" t="s">
        <v>314</v>
      </c>
      <c r="C8" s="13" t="s">
        <v>275</v>
      </c>
      <c r="D8" s="13" t="s">
        <v>310</v>
      </c>
      <c r="E8" s="13" t="s">
        <v>642</v>
      </c>
      <c r="F8" s="13" t="s">
        <v>10</v>
      </c>
      <c r="G8" s="13" t="s">
        <v>296</v>
      </c>
      <c r="H8" s="13" t="s">
        <v>282</v>
      </c>
      <c r="I8" s="13" t="s">
        <v>315</v>
      </c>
      <c r="J8" s="13" t="s">
        <v>316</v>
      </c>
      <c r="K8" s="13" t="s">
        <v>317</v>
      </c>
      <c r="L8" s="13" t="s">
        <v>318</v>
      </c>
      <c r="M8" s="13" t="s">
        <v>649</v>
      </c>
      <c r="N8" s="13">
        <v>3.6</v>
      </c>
      <c r="O8" s="13" t="str">
        <f>CONCATENATE( C1,C8,CHAR(10), D1,D8,CHAR(10), E1,E8,CHAR(10), F1,F8,CHAR(10), G1,G8,CHAR(10), H1,H8,CHAR(10), I1,I8,CHAR(10), J1,J8,CHAR(10), K1,K8,CHAR(10), L1,L8,CHAR(10), M1,M8,CHAR(10), N1,N8,CHAR(10), )</f>
        <v xml:space="preserve">Тип динамика:широкополосный
Диаметр динамика:12"
Диаметр звуковой катушки:75.5 мм    3"
Номинальное сопротивление:8 Ом
Тип магнита:неодим
Материал гофры:плотная структурированная целлюлоза
Материал корзины:литой алюминий
Мощность RMS:600Вт
Высота динамика:135 мм
Рабочий диапазон частот:54Гц-6кГц
Чувствительность:91.8 дБ(1Вт / 1 м)
Вес:3.6
</v>
      </c>
      <c r="P8" s="24" t="s">
        <v>355</v>
      </c>
      <c r="Q8" s="140" t="s">
        <v>1827</v>
      </c>
      <c r="R8" s="2" t="str">
        <f t="shared" si="0"/>
        <v>MCF N-12L широкополосный</v>
      </c>
      <c r="S8" s="2" t="str">
        <f t="shared" si="1"/>
        <v>MCF N-12L широкополосный</v>
      </c>
      <c r="T8" s="2" t="s">
        <v>1840</v>
      </c>
      <c r="V8" s="2" t="s">
        <v>1837</v>
      </c>
      <c r="W8" s="143" t="s">
        <v>1841</v>
      </c>
      <c r="X8" s="143" t="s">
        <v>1842</v>
      </c>
      <c r="Y8" s="143" t="s">
        <v>1843</v>
      </c>
      <c r="Z8" s="143" t="s">
        <v>1844</v>
      </c>
      <c r="AA8" s="2" t="s">
        <v>1837</v>
      </c>
      <c r="AB8" s="2" t="s">
        <v>1837</v>
      </c>
    </row>
    <row r="9" spans="1:28" ht="52.5" customHeight="1" x14ac:dyDescent="0.25">
      <c r="A9" s="48">
        <v>8</v>
      </c>
      <c r="B9" s="1" t="s">
        <v>319</v>
      </c>
      <c r="C9" s="13" t="s">
        <v>302</v>
      </c>
      <c r="D9" s="13" t="s">
        <v>310</v>
      </c>
      <c r="E9" s="13" t="s">
        <v>643</v>
      </c>
      <c r="F9" s="13" t="s">
        <v>10</v>
      </c>
      <c r="G9" s="13" t="s">
        <v>280</v>
      </c>
      <c r="H9" s="13" t="s">
        <v>282</v>
      </c>
      <c r="I9" s="13" t="s">
        <v>315</v>
      </c>
      <c r="J9" s="13" t="s">
        <v>320</v>
      </c>
      <c r="K9" s="13" t="s">
        <v>321</v>
      </c>
      <c r="L9" s="13" t="s">
        <v>322</v>
      </c>
      <c r="M9" s="13" t="s">
        <v>650</v>
      </c>
      <c r="N9" s="13">
        <v>4.16</v>
      </c>
      <c r="O9" s="13" t="str">
        <f>CONCATENATE( C1,C9,CHAR(10), D1,D9,CHAR(10), E1,E9,CHAR(10), F1,F9,CHAR(10), G1,G9,CHAR(10), H1,H9,CHAR(10), I1,I9,CHAR(10), J1,J9,CHAR(10), K1,K9,CHAR(10), L1,L9,CHAR(10), M1,M9,CHAR(10), N1,N9,CHAR(10), )</f>
        <v xml:space="preserve">Тип динамика:низкочастотный
Диаметр динамика:12"
Диаметр звуковой катушки:75.5мм    3"
Номинальное сопротивление:8 Ом
Тип магнита:феромагнит
Материал гофры:плотная структурированная целлюлоза
Материал корзины:литой алюминий
Мощность RMS:400Вт
Высота динамика:135мм
Рабочий диапазон частот:60Гц-3кГц
Чувствительность:94.9dB (1Вт/1 м)
Вес:4.16
</v>
      </c>
      <c r="P9" s="24" t="s">
        <v>356</v>
      </c>
      <c r="Q9" s="140" t="s">
        <v>1827</v>
      </c>
      <c r="R9" s="2" t="str">
        <f t="shared" si="0"/>
        <v>MCF F-12L низкочастотный</v>
      </c>
      <c r="S9" s="2" t="str">
        <f t="shared" si="1"/>
        <v>MCF F-12L низкочастотный</v>
      </c>
      <c r="T9" s="2" t="s">
        <v>1840</v>
      </c>
      <c r="V9" s="2" t="s">
        <v>1837</v>
      </c>
      <c r="W9" s="143" t="s">
        <v>1841</v>
      </c>
      <c r="X9" s="143" t="s">
        <v>1842</v>
      </c>
      <c r="Y9" s="143" t="s">
        <v>1843</v>
      </c>
      <c r="Z9" s="143" t="s">
        <v>1844</v>
      </c>
      <c r="AA9" s="2" t="s">
        <v>1837</v>
      </c>
      <c r="AB9" s="2" t="s">
        <v>1837</v>
      </c>
    </row>
    <row r="10" spans="1:28" ht="52.5" customHeight="1" x14ac:dyDescent="0.25">
      <c r="A10" s="48">
        <v>9</v>
      </c>
      <c r="B10" s="1" t="s">
        <v>323</v>
      </c>
      <c r="C10" s="13" t="s">
        <v>275</v>
      </c>
      <c r="D10" s="13" t="s">
        <v>324</v>
      </c>
      <c r="E10" s="13" t="s">
        <v>644</v>
      </c>
      <c r="F10" s="13" t="s">
        <v>10</v>
      </c>
      <c r="G10" s="13" t="s">
        <v>280</v>
      </c>
      <c r="H10" s="13" t="s">
        <v>282</v>
      </c>
      <c r="I10" s="13" t="s">
        <v>284</v>
      </c>
      <c r="J10" s="13" t="s">
        <v>320</v>
      </c>
      <c r="K10" s="13" t="s">
        <v>325</v>
      </c>
      <c r="L10" s="13" t="s">
        <v>326</v>
      </c>
      <c r="M10" s="13" t="s">
        <v>651</v>
      </c>
      <c r="N10" s="13">
        <v>4.5</v>
      </c>
      <c r="O10" s="13" t="str">
        <f>CONCATENATE( C1,C10,CHAR(10), D1,D10,CHAR(10), E1,E10,CHAR(10), F1,F10,CHAR(10), G1,G10,CHAR(10), H1,H10,CHAR(10), I1,I10,CHAR(10), J1,J10,CHAR(10), K1,K10,CHAR(10), L1,L10,CHAR(10), M1,M10,CHAR(10), N1,N10,CHAR(10), )</f>
        <v xml:space="preserve">Тип динамика:широкополосный
Диаметр динамика:15"
Диаметр звуковой катушки:65.5мм    2"
Номинальное сопротивление:8 Ом
Тип магнита:феромагнит
Материал гофры:плотная структурированная целлюлоза
Материал корзины:металл
Мощность RMS:400Вт
Высота динамика:145мм
Рабочий диапазон частот:60Гц-5кГц
Чувствительность:95.1dB (1Вт/1 м)
Вес:4.5
</v>
      </c>
      <c r="P10" s="24" t="s">
        <v>356</v>
      </c>
      <c r="Q10" s="140" t="s">
        <v>1827</v>
      </c>
      <c r="R10" s="2" t="str">
        <f t="shared" si="0"/>
        <v>MCF F-15J широкополосный</v>
      </c>
      <c r="S10" s="2" t="str">
        <f t="shared" si="1"/>
        <v>MCF F-15J широкополосный</v>
      </c>
      <c r="T10" s="2" t="s">
        <v>1840</v>
      </c>
      <c r="V10" s="2" t="s">
        <v>1837</v>
      </c>
      <c r="W10" s="143" t="s">
        <v>1841</v>
      </c>
      <c r="X10" s="143" t="s">
        <v>1842</v>
      </c>
      <c r="Y10" s="143" t="s">
        <v>1843</v>
      </c>
      <c r="Z10" s="143" t="s">
        <v>1844</v>
      </c>
      <c r="AA10" s="2" t="s">
        <v>1837</v>
      </c>
      <c r="AB10" s="2" t="s">
        <v>1837</v>
      </c>
    </row>
    <row r="11" spans="1:28" ht="52.5" customHeight="1" x14ac:dyDescent="0.25">
      <c r="A11" s="48">
        <v>10</v>
      </c>
      <c r="B11" s="1" t="s">
        <v>327</v>
      </c>
      <c r="C11" s="13" t="s">
        <v>275</v>
      </c>
      <c r="D11" s="13" t="s">
        <v>324</v>
      </c>
      <c r="E11" s="13" t="s">
        <v>642</v>
      </c>
      <c r="F11" s="13" t="s">
        <v>10</v>
      </c>
      <c r="G11" s="13" t="s">
        <v>296</v>
      </c>
      <c r="H11" s="13" t="s">
        <v>282</v>
      </c>
      <c r="I11" s="13" t="s">
        <v>315</v>
      </c>
      <c r="J11" s="13" t="s">
        <v>316</v>
      </c>
      <c r="K11" s="13" t="s">
        <v>328</v>
      </c>
      <c r="L11" s="13" t="s">
        <v>329</v>
      </c>
      <c r="M11" s="13" t="s">
        <v>652</v>
      </c>
      <c r="N11" s="13">
        <v>4.3</v>
      </c>
      <c r="O11" s="13" t="str">
        <f>CONCATENATE( C1,C11,CHAR(10), D1,D11,CHAR(10), E1,E11,CHAR(10), F1,F11,CHAR(10), G1,G11,CHAR(10), H1,H11,CHAR(10), I1,I11,CHAR(10), J1,J11,CHAR(10), K1,K11,CHAR(10), L1,L11,CHAR(10), M1,M11,CHAR(10), N1,N11,CHAR(10), )</f>
        <v xml:space="preserve">Тип динамика:широкополосный
Диаметр динамика:15"
Диаметр звуковой катушки:75.5 мм    3"
Номинальное сопротивление:8 Ом
Тип магнита:неодим
Материал гофры:плотная структурированная целлюлоза
Материал корзины:литой алюминий
Мощность RMS:600Вт
Высота динамика:169 мм
Рабочий диапазон частот:40Гц-6кГц
Чувствительность:92.7дБ (1Вт / 1 м)
Вес:4.3
</v>
      </c>
      <c r="P11" s="24" t="s">
        <v>357</v>
      </c>
      <c r="Q11" s="140" t="s">
        <v>1827</v>
      </c>
      <c r="R11" s="2" t="str">
        <f t="shared" si="0"/>
        <v>MCF N-15L широкополосный</v>
      </c>
      <c r="S11" s="2" t="str">
        <f t="shared" si="1"/>
        <v>MCF N-15L широкополосный</v>
      </c>
      <c r="T11" s="2" t="s">
        <v>1840</v>
      </c>
      <c r="V11" s="2" t="s">
        <v>1837</v>
      </c>
      <c r="W11" s="143" t="s">
        <v>1841</v>
      </c>
      <c r="X11" s="143" t="s">
        <v>1842</v>
      </c>
      <c r="Y11" s="143" t="s">
        <v>1843</v>
      </c>
      <c r="Z11" s="143" t="s">
        <v>1844</v>
      </c>
      <c r="AA11" s="2" t="s">
        <v>1837</v>
      </c>
      <c r="AB11" s="2" t="s">
        <v>1837</v>
      </c>
    </row>
    <row r="12" spans="1:28" ht="52.5" customHeight="1" x14ac:dyDescent="0.25">
      <c r="A12" s="48">
        <v>11</v>
      </c>
      <c r="B12" s="1" t="s">
        <v>330</v>
      </c>
      <c r="C12" s="13" t="s">
        <v>302</v>
      </c>
      <c r="D12" s="13" t="s">
        <v>324</v>
      </c>
      <c r="E12" s="13" t="s">
        <v>643</v>
      </c>
      <c r="F12" s="13" t="s">
        <v>10</v>
      </c>
      <c r="G12" s="13" t="s">
        <v>280</v>
      </c>
      <c r="H12" s="13" t="s">
        <v>282</v>
      </c>
      <c r="I12" s="13" t="s">
        <v>315</v>
      </c>
      <c r="J12" s="13" t="s">
        <v>331</v>
      </c>
      <c r="K12" s="13" t="s">
        <v>332</v>
      </c>
      <c r="L12" s="13" t="s">
        <v>333</v>
      </c>
      <c r="M12" s="13" t="s">
        <v>653</v>
      </c>
      <c r="N12" s="13">
        <v>5.7</v>
      </c>
      <c r="O12" s="13" t="str">
        <f>CONCATENATE( C1,C12,CHAR(10), D1,D12,CHAR(10), E1,E12,CHAR(10), F1,F12,CHAR(10), G1,G12,CHAR(10), H1,H12,CHAR(10), I1,I12,CHAR(10), J1,J12,CHAR(10), K1,K12,CHAR(10), L1,L12,CHAR(10), M1,M12,CHAR(10), N1,N12,CHAR(10), )</f>
        <v xml:space="preserve">Тип динамика:низкочастотный
Диаметр динамика:15"
Диаметр звуковой катушки:75.5мм    3"
Номинальное сопротивление:8 Ом
Тип магнита:феромагнит
Материал гофры:плотная структурированная целлюлоза
Материал корзины:литой алюминий
Мощность RMS:500Вт
Высота динамика:157мм
Рабочий диапазон частот:45Гц-3кГц
Чувствительность:97.5dB (1Вт/1 м)
Вес:5.7
</v>
      </c>
      <c r="P12" s="24" t="s">
        <v>358</v>
      </c>
      <c r="Q12" s="140" t="s">
        <v>1827</v>
      </c>
      <c r="R12" s="2" t="str">
        <f t="shared" si="0"/>
        <v>MCF F-15L низкочастотный</v>
      </c>
      <c r="S12" s="2" t="str">
        <f t="shared" si="1"/>
        <v>MCF F-15L низкочастотный</v>
      </c>
      <c r="T12" s="2" t="s">
        <v>1840</v>
      </c>
      <c r="V12" s="2" t="s">
        <v>1837</v>
      </c>
      <c r="W12" s="143" t="s">
        <v>1841</v>
      </c>
      <c r="X12" s="143" t="s">
        <v>1842</v>
      </c>
      <c r="Y12" s="143" t="s">
        <v>1843</v>
      </c>
      <c r="Z12" s="143" t="s">
        <v>1844</v>
      </c>
      <c r="AA12" s="2" t="s">
        <v>1837</v>
      </c>
      <c r="AB12" s="2" t="s">
        <v>1837</v>
      </c>
    </row>
    <row r="13" spans="1:28" ht="52.5" customHeight="1" x14ac:dyDescent="0.25">
      <c r="A13" s="48">
        <v>12</v>
      </c>
      <c r="B13" s="1" t="s">
        <v>1860</v>
      </c>
      <c r="C13" s="13" t="s">
        <v>275</v>
      </c>
      <c r="D13" s="13" t="s">
        <v>324</v>
      </c>
      <c r="E13" s="13" t="s">
        <v>645</v>
      </c>
      <c r="F13" s="13" t="s">
        <v>10</v>
      </c>
      <c r="G13" s="13" t="s">
        <v>280</v>
      </c>
      <c r="H13" s="13" t="s">
        <v>282</v>
      </c>
      <c r="I13" s="13" t="s">
        <v>315</v>
      </c>
      <c r="J13" s="13" t="s">
        <v>331</v>
      </c>
      <c r="K13" s="13" t="s">
        <v>334</v>
      </c>
      <c r="L13" s="13" t="s">
        <v>326</v>
      </c>
      <c r="M13" s="13" t="s">
        <v>654</v>
      </c>
      <c r="N13" s="13">
        <v>5.7</v>
      </c>
      <c r="O13" s="13" t="str">
        <f>CONCATENATE( C1,C13,CHAR(10), D1,D13,CHAR(10), E1,E13,CHAR(10), F1,F13,CHAR(10), G1,G13,CHAR(10), H1,H13,CHAR(10), I1,I13,CHAR(10), J1,J13,CHAR(10), K1,K13,CHAR(10), L1,L13,CHAR(10), M1,M13,CHAR(10), N1,N13,CHAR(10), )</f>
        <v xml:space="preserve">Тип динамика:широкополосный
Диаметр динамика:15"
Диаметр звуковой катушки:65.5 мм    2.5"
Номинальное сопротивление:8 Ом
Тип магнита:феромагнит
Материал гофры:плотная структурированная целлюлоза
Материал корзины:литой алюминий
Мощность RMS:500Вт
Высота динамика:163 мм
Рабочий диапазон частот:60Гц-5кГц
Чувствительность:95.6дБ (1Вт / 1 м)
Вес:5.7
</v>
      </c>
      <c r="P13" s="24" t="s">
        <v>359</v>
      </c>
      <c r="Q13" s="140" t="s">
        <v>1827</v>
      </c>
      <c r="R13" s="2" t="str">
        <f t="shared" si="0"/>
        <v>MCF F15-L22 широкополосный</v>
      </c>
      <c r="S13" s="2" t="str">
        <f t="shared" si="1"/>
        <v>MCF F15-L22 широкополосный</v>
      </c>
      <c r="T13" s="2" t="s">
        <v>1840</v>
      </c>
      <c r="V13" s="2" t="s">
        <v>1837</v>
      </c>
      <c r="W13" s="143" t="s">
        <v>1841</v>
      </c>
      <c r="X13" s="143" t="s">
        <v>1842</v>
      </c>
      <c r="Y13" s="143" t="s">
        <v>1843</v>
      </c>
      <c r="Z13" s="143" t="s">
        <v>1844</v>
      </c>
      <c r="AA13" s="2" t="s">
        <v>1837</v>
      </c>
      <c r="AB13" s="2" t="s">
        <v>1837</v>
      </c>
    </row>
    <row r="14" spans="1:28" ht="52.5" customHeight="1" x14ac:dyDescent="0.25">
      <c r="A14" s="48">
        <v>13</v>
      </c>
      <c r="B14" s="1" t="s">
        <v>335</v>
      </c>
      <c r="C14" s="13" t="s">
        <v>336</v>
      </c>
      <c r="D14" s="13" t="s">
        <v>337</v>
      </c>
      <c r="E14" s="13" t="s">
        <v>646</v>
      </c>
      <c r="F14" s="13" t="s">
        <v>10</v>
      </c>
      <c r="G14" s="13" t="s">
        <v>338</v>
      </c>
      <c r="I14" s="13" t="s">
        <v>315</v>
      </c>
      <c r="J14" s="13" t="s">
        <v>339</v>
      </c>
      <c r="K14" s="13" t="s">
        <v>341</v>
      </c>
      <c r="L14" s="13" t="s">
        <v>343</v>
      </c>
      <c r="M14" s="13" t="s">
        <v>344</v>
      </c>
      <c r="N14" s="13">
        <v>13</v>
      </c>
      <c r="O14" s="13" t="str">
        <f>CONCATENATE( C1,C14,CHAR(10), D1,D14,CHAR(10), E1,E14,CHAR(10), F1,F14,CHAR(10), G1,G14,CHAR(10), H1,H14,CHAR(10), I1,I14,CHAR(10), J1,J14,CHAR(10), K1,K14,CHAR(10), L1,L14,CHAR(10), M1,M14,CHAR(10), N1,N14,CHAR(10), )</f>
        <v xml:space="preserve">Тип динамика:низкочастотный 
Диаметр динамика:18"
Диаметр звуковой катушки:99.5мм   4"
Номинальное сопротивление:8 Ом
Тип магнита:ферромагнит
Материал гофры:
Материал корзины:литой алюминий
Мощность RMS:1200 Вт
Высота динамика:218 мм
Рабочий диапазон частот:45-2,2кГц
Чувствительность:98 дБ (1Вт / 1 м)
Вес:13
</v>
      </c>
      <c r="P14" s="24" t="s">
        <v>360</v>
      </c>
      <c r="Q14" s="140" t="s">
        <v>1827</v>
      </c>
      <c r="R14" s="2" t="str">
        <f t="shared" si="0"/>
        <v xml:space="preserve">MCF F18 (1200) низкочастотный </v>
      </c>
      <c r="S14" s="2" t="str">
        <f t="shared" si="1"/>
        <v xml:space="preserve">MCF F18 (1200) низкочастотный </v>
      </c>
      <c r="T14" s="2" t="s">
        <v>1840</v>
      </c>
      <c r="V14" s="2" t="s">
        <v>1837</v>
      </c>
      <c r="W14" s="143" t="s">
        <v>1841</v>
      </c>
      <c r="X14" s="143" t="s">
        <v>1842</v>
      </c>
      <c r="Y14" s="143" t="s">
        <v>1843</v>
      </c>
      <c r="Z14" s="143" t="s">
        <v>1844</v>
      </c>
      <c r="AA14" s="2" t="s">
        <v>1837</v>
      </c>
      <c r="AB14" s="2" t="s">
        <v>1837</v>
      </c>
    </row>
    <row r="15" spans="1:28" ht="52.5" customHeight="1" x14ac:dyDescent="0.25">
      <c r="A15" s="48">
        <v>14</v>
      </c>
      <c r="B15" s="1" t="s">
        <v>1859</v>
      </c>
      <c r="C15" s="13" t="s">
        <v>336</v>
      </c>
      <c r="D15" s="13" t="s">
        <v>337</v>
      </c>
      <c r="E15" s="13" t="s">
        <v>646</v>
      </c>
      <c r="F15" s="13" t="s">
        <v>10</v>
      </c>
      <c r="G15" s="13" t="s">
        <v>338</v>
      </c>
      <c r="I15" s="13" t="s">
        <v>315</v>
      </c>
      <c r="J15" s="13" t="s">
        <v>345</v>
      </c>
      <c r="K15" s="13" t="s">
        <v>346</v>
      </c>
      <c r="L15" s="13" t="s">
        <v>347</v>
      </c>
      <c r="M15" s="13" t="s">
        <v>348</v>
      </c>
      <c r="N15" s="13">
        <v>12.5</v>
      </c>
      <c r="O15" s="13" t="str">
        <f>CONCATENATE( C1,C15,CHAR(10), D1,D15,CHAR(10), E1,E15,CHAR(10), F1,F15,CHAR(10), G1,G15,CHAR(10), H1,H15,CHAR(10), I1,I15,CHAR(10), J1,J15,CHAR(10), K1,K15,CHAR(10), L1,L15,CHAR(10), M1,M15,CHAR(10), N1,N15,CHAR(10), )</f>
        <v xml:space="preserve">Тип динамика:низкочастотный 
Диаметр динамика:18"
Диаметр звуковой катушки:99.5мм   4"
Номинальное сопротивление:8 Ом
Тип магнита:ферромагнит
Материал гофры:
Материал корзины:литой алюминий
Мощность RMS:1000 Вт
Высота динамика:225 мм
Рабочий диапазон частот:35-2кГц
Чувствительность:97дБ (1Вт / 1 м)
Вес:12.5
</v>
      </c>
      <c r="P15" s="25">
        <v>22900</v>
      </c>
      <c r="Q15" s="140" t="s">
        <v>1827</v>
      </c>
      <c r="R15" s="2" t="str">
        <f t="shared" si="0"/>
        <v xml:space="preserve">MCF F18 (1000) низкочастотный </v>
      </c>
      <c r="S15" s="2" t="str">
        <f t="shared" si="1"/>
        <v xml:space="preserve">MCF F18 (1000) низкочастотный </v>
      </c>
      <c r="T15" s="2" t="s">
        <v>1840</v>
      </c>
      <c r="V15" s="2" t="s">
        <v>1837</v>
      </c>
      <c r="W15" s="143" t="s">
        <v>1841</v>
      </c>
      <c r="X15" s="143" t="s">
        <v>1842</v>
      </c>
      <c r="Y15" s="143" t="s">
        <v>1843</v>
      </c>
      <c r="Z15" s="143" t="s">
        <v>1844</v>
      </c>
      <c r="AA15" s="2" t="s">
        <v>1837</v>
      </c>
      <c r="AB15" s="2" t="s">
        <v>1837</v>
      </c>
    </row>
    <row r="16" spans="1:28" ht="52.5" customHeight="1" x14ac:dyDescent="0.25">
      <c r="A16" s="48">
        <v>15</v>
      </c>
      <c r="B16" s="1" t="s">
        <v>1858</v>
      </c>
      <c r="C16" s="13" t="s">
        <v>336</v>
      </c>
      <c r="D16" s="13" t="s">
        <v>337</v>
      </c>
      <c r="E16" s="13" t="s">
        <v>646</v>
      </c>
      <c r="F16" s="13" t="s">
        <v>10</v>
      </c>
      <c r="G16" s="13" t="s">
        <v>338</v>
      </c>
      <c r="I16" s="13" t="s">
        <v>315</v>
      </c>
      <c r="J16" s="13" t="s">
        <v>349</v>
      </c>
      <c r="K16" s="13" t="s">
        <v>350</v>
      </c>
      <c r="L16" s="13" t="s">
        <v>347</v>
      </c>
      <c r="M16" s="13" t="s">
        <v>655</v>
      </c>
      <c r="N16" s="13">
        <v>12.9</v>
      </c>
      <c r="O16" s="13" t="str">
        <f>CONCATENATE( C1,C16,CHAR(10), D1,D16,CHAR(10), E1,E16,CHAR(10), F1,F16,CHAR(10), G1,G16,CHAR(10), H1,H16,CHAR(10), I1,I16,CHAR(10), J1,J16,CHAR(10), K1,K16,CHAR(10), L1,L16,CHAR(10), M1,M16,CHAR(10), N1,N16,CHAR(10), )</f>
        <v xml:space="preserve">Тип динамика:низкочастотный 
Диаметр динамика:18"
Диаметр звуковой катушки:99.5мм   4"
Номинальное сопротивление:8 Ом
Тип магнита:ферромагнит
Материал гофры:
Материал корзины:литой алюминий
Мощность RMS:800 Вт
Высота динамика:210 мм
Рабочий диапазон частот:35-2кГц
Чувствительность:96.4дБ (1Вт / 1 м)
Вес:12.9
</v>
      </c>
      <c r="P16" s="25">
        <v>19900</v>
      </c>
      <c r="Q16" s="140" t="s">
        <v>1827</v>
      </c>
      <c r="R16" s="2" t="str">
        <f t="shared" si="0"/>
        <v xml:space="preserve">MCF F18 (800) низкочастотный </v>
      </c>
      <c r="S16" s="2" t="str">
        <f t="shared" si="1"/>
        <v xml:space="preserve">MCF F18 (800) низкочастотный </v>
      </c>
      <c r="T16" s="2" t="s">
        <v>1840</v>
      </c>
      <c r="V16" s="2" t="s">
        <v>1837</v>
      </c>
      <c r="W16" s="143" t="s">
        <v>1841</v>
      </c>
      <c r="X16" s="143" t="s">
        <v>1842</v>
      </c>
      <c r="Y16" s="143" t="s">
        <v>1843</v>
      </c>
      <c r="Z16" s="143" t="s">
        <v>1844</v>
      </c>
      <c r="AA16" s="2" t="s">
        <v>1837</v>
      </c>
      <c r="AB16" s="2" t="s">
        <v>1837</v>
      </c>
    </row>
    <row r="17" spans="2:2" ht="52.5" customHeight="1" x14ac:dyDescent="0.25">
      <c r="B17" s="17"/>
    </row>
    <row r="19" spans="2:2" ht="52.5" customHeight="1" x14ac:dyDescent="0.25">
      <c r="B19" s="17"/>
    </row>
    <row r="20" spans="2:2" ht="52.5" customHeight="1" x14ac:dyDescent="0.25">
      <c r="B20" s="12"/>
    </row>
    <row r="22" spans="2:2" ht="52.5" customHeight="1" x14ac:dyDescent="0.25">
      <c r="B22" s="12"/>
    </row>
    <row r="23" spans="2:2" ht="52.5" customHeight="1" x14ac:dyDescent="0.25">
      <c r="B23" s="12"/>
    </row>
    <row r="24" spans="2:2" ht="52.5" customHeight="1" x14ac:dyDescent="0.25">
      <c r="B24" s="12"/>
    </row>
    <row r="25" spans="2:2" ht="52.5" customHeight="1" x14ac:dyDescent="0.25">
      <c r="B25" s="12"/>
    </row>
    <row r="26" spans="2:2" ht="52.5" customHeight="1" x14ac:dyDescent="0.25">
      <c r="B26" s="12"/>
    </row>
    <row r="27" spans="2:2" ht="52.5" customHeight="1" x14ac:dyDescent="0.25">
      <c r="B27" s="12"/>
    </row>
    <row r="28" spans="2:2" ht="52.5" customHeight="1" x14ac:dyDescent="0.25">
      <c r="B28" s="12"/>
    </row>
    <row r="29" spans="2:2" ht="52.5" customHeight="1" x14ac:dyDescent="0.25">
      <c r="B29" s="12"/>
    </row>
    <row r="30" spans="2:2" ht="52.5" customHeight="1" x14ac:dyDescent="0.25">
      <c r="B30" s="12"/>
    </row>
    <row r="31" spans="2:2" ht="52.5" customHeight="1" x14ac:dyDescent="0.25">
      <c r="B31" s="18"/>
    </row>
    <row r="32" spans="2:2" ht="52.5" customHeight="1" x14ac:dyDescent="0.25">
      <c r="B32" s="12"/>
    </row>
    <row r="34" spans="2:2" ht="52.5" customHeight="1" x14ac:dyDescent="0.25">
      <c r="B34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R42"/>
  <sheetViews>
    <sheetView zoomScale="70" zoomScaleNormal="70" workbookViewId="0">
      <pane ySplit="1" topLeftCell="A41" activePane="bottomLeft" state="frozen"/>
      <selection pane="bottomLeft" activeCell="A41" sqref="A41"/>
    </sheetView>
  </sheetViews>
  <sheetFormatPr defaultRowHeight="15.75" x14ac:dyDescent="0.25"/>
  <cols>
    <col min="1" max="1" width="9.140625" style="38"/>
    <col min="2" max="2" width="22.28515625" style="15" customWidth="1"/>
    <col min="3" max="9" width="13.5703125" style="15" hidden="1" customWidth="1"/>
    <col min="10" max="10" width="12.42578125" style="15" hidden="1" customWidth="1"/>
    <col min="11" max="11" width="19.85546875" style="15" hidden="1" customWidth="1"/>
    <col min="12" max="19" width="13.5703125" style="15" hidden="1" customWidth="1"/>
    <col min="20" max="20" width="16.5703125" style="15" hidden="1" customWidth="1"/>
    <col min="21" max="21" width="19.42578125" style="15" hidden="1" customWidth="1"/>
    <col min="22" max="22" width="19.140625" style="15" hidden="1" customWidth="1"/>
    <col min="23" max="24" width="13.5703125" style="15" hidden="1" customWidth="1"/>
    <col min="25" max="25" width="25" style="15" hidden="1" customWidth="1"/>
    <col min="26" max="27" width="13.5703125" style="15" hidden="1" customWidth="1"/>
    <col min="28" max="28" width="17.7109375" style="15" customWidth="1"/>
    <col min="29" max="29" width="18" style="15" customWidth="1"/>
    <col min="30" max="30" width="95.85546875" style="15" customWidth="1"/>
    <col min="31" max="31" width="14.7109375" style="15" customWidth="1"/>
    <col min="32" max="32" width="8.5703125" style="2" bestFit="1" customWidth="1"/>
    <col min="33" max="33" width="17.85546875" style="2" bestFit="1" customWidth="1"/>
    <col min="34" max="34" width="25.5703125" style="2" bestFit="1" customWidth="1"/>
    <col min="35" max="35" width="17.5703125" style="2" bestFit="1" customWidth="1"/>
    <col min="36" max="36" width="22.140625" style="2" bestFit="1" customWidth="1"/>
    <col min="37" max="37" width="10.140625" style="2" bestFit="1" customWidth="1"/>
    <col min="38" max="38" width="6.28515625" style="2" bestFit="1" customWidth="1"/>
    <col min="39" max="39" width="17.85546875" style="2" bestFit="1" customWidth="1"/>
    <col min="40" max="40" width="16.85546875" style="2" bestFit="1" customWidth="1"/>
    <col min="41" max="41" width="16.42578125" style="2" bestFit="1" customWidth="1"/>
    <col min="42" max="42" width="9.140625" style="2"/>
    <col min="43" max="43" width="4.85546875" style="2" bestFit="1" customWidth="1"/>
    <col min="44" max="44" width="8.7109375" style="2" bestFit="1" customWidth="1"/>
    <col min="45" max="16384" width="9.140625" style="5"/>
  </cols>
  <sheetData>
    <row r="1" spans="1:44" s="37" customFormat="1" ht="47.25" x14ac:dyDescent="0.25">
      <c r="A1" s="37" t="s">
        <v>636</v>
      </c>
      <c r="B1" s="41" t="s">
        <v>0</v>
      </c>
      <c r="C1" s="43" t="s">
        <v>88</v>
      </c>
      <c r="D1" s="44" t="s">
        <v>138</v>
      </c>
      <c r="E1" s="44" t="s">
        <v>140</v>
      </c>
      <c r="F1" s="44" t="s">
        <v>141</v>
      </c>
      <c r="G1" s="43" t="s">
        <v>90</v>
      </c>
      <c r="H1" s="43" t="s">
        <v>90</v>
      </c>
      <c r="I1" s="44" t="s">
        <v>142</v>
      </c>
      <c r="J1" s="44" t="s">
        <v>165</v>
      </c>
      <c r="K1" s="43" t="s">
        <v>9</v>
      </c>
      <c r="L1" s="43" t="s">
        <v>94</v>
      </c>
      <c r="M1" s="43" t="s">
        <v>95</v>
      </c>
      <c r="N1" s="43" t="s">
        <v>97</v>
      </c>
      <c r="O1" s="43" t="s">
        <v>99</v>
      </c>
      <c r="P1" s="13" t="s">
        <v>1973</v>
      </c>
      <c r="Q1" s="43" t="s">
        <v>101</v>
      </c>
      <c r="R1" s="44" t="s">
        <v>144</v>
      </c>
      <c r="S1" s="44" t="s">
        <v>145</v>
      </c>
      <c r="T1" s="43" t="s">
        <v>103</v>
      </c>
      <c r="U1" s="43" t="s">
        <v>103</v>
      </c>
      <c r="V1" s="43" t="s">
        <v>106</v>
      </c>
      <c r="W1" s="43" t="s">
        <v>108</v>
      </c>
      <c r="X1" s="43" t="s">
        <v>110</v>
      </c>
      <c r="Y1" s="43" t="s">
        <v>111</v>
      </c>
      <c r="Z1" s="43" t="s">
        <v>113</v>
      </c>
      <c r="AA1" s="43" t="s">
        <v>115</v>
      </c>
      <c r="AB1" s="43" t="s">
        <v>1979</v>
      </c>
      <c r="AC1" s="43" t="s">
        <v>118</v>
      </c>
      <c r="AD1" s="43" t="s">
        <v>1651</v>
      </c>
      <c r="AE1" s="41" t="s">
        <v>1</v>
      </c>
      <c r="AF1" s="141" t="s">
        <v>1826</v>
      </c>
      <c r="AG1" s="142" t="s">
        <v>1828</v>
      </c>
      <c r="AH1" s="142" t="s">
        <v>1829</v>
      </c>
      <c r="AI1" s="142" t="s">
        <v>1830</v>
      </c>
      <c r="AJ1" s="142" t="s">
        <v>1831</v>
      </c>
      <c r="AK1" s="142" t="s">
        <v>1832</v>
      </c>
      <c r="AL1" s="142" t="s">
        <v>1833</v>
      </c>
      <c r="AM1" s="142" t="s">
        <v>1834</v>
      </c>
      <c r="AN1" s="142" t="s">
        <v>1835</v>
      </c>
      <c r="AO1" s="142" t="s">
        <v>1836</v>
      </c>
      <c r="AP1" s="35" t="s">
        <v>1845</v>
      </c>
      <c r="AQ1" s="35"/>
      <c r="AR1" s="35"/>
    </row>
    <row r="2" spans="1:44" ht="409.5" x14ac:dyDescent="0.25">
      <c r="A2" s="38">
        <v>1</v>
      </c>
      <c r="B2" s="14" t="s">
        <v>221</v>
      </c>
      <c r="C2" s="13" t="s">
        <v>89</v>
      </c>
      <c r="D2" s="13"/>
      <c r="E2" s="13"/>
      <c r="F2" s="13"/>
      <c r="G2" s="13" t="s">
        <v>91</v>
      </c>
      <c r="H2" s="13" t="s">
        <v>92</v>
      </c>
      <c r="I2" s="13"/>
      <c r="J2" s="13"/>
      <c r="K2" s="13" t="s">
        <v>93</v>
      </c>
      <c r="L2" s="13" t="s">
        <v>1980</v>
      </c>
      <c r="M2" s="13" t="s">
        <v>96</v>
      </c>
      <c r="N2" s="13" t="s">
        <v>98</v>
      </c>
      <c r="O2" s="13" t="s">
        <v>100</v>
      </c>
      <c r="P2" s="13"/>
      <c r="Q2" s="13" t="s">
        <v>102</v>
      </c>
      <c r="R2" s="13"/>
      <c r="S2" s="13"/>
      <c r="T2" s="13" t="s">
        <v>104</v>
      </c>
      <c r="U2" s="13" t="s">
        <v>105</v>
      </c>
      <c r="V2" s="13" t="s">
        <v>107</v>
      </c>
      <c r="W2" s="13" t="s">
        <v>109</v>
      </c>
      <c r="X2" s="13" t="s">
        <v>223</v>
      </c>
      <c r="Y2" s="13" t="s">
        <v>112</v>
      </c>
      <c r="Z2" s="13" t="s">
        <v>114</v>
      </c>
      <c r="AA2" s="13" t="s">
        <v>116</v>
      </c>
      <c r="AB2" s="13">
        <v>12</v>
      </c>
      <c r="AC2" s="13" t="s">
        <v>119</v>
      </c>
      <c r="AD2" s="13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S1,S3,CHAR(10), U1,U3,CHAR(10), V1,V3,CHAR(10), W1,W3,CHAR(10), X1,X3,CHAR(10), Y1,Y3,CHAR(10), Z1,Z3,CHAR(10), AA1,AA3,CHAR(10), AB1,AB3,CHAR(10), AC1,AC3,CHAR(10), )</f>
        <v xml:space="preserve">Каналы:6 моно 4 стерео
Канал EQ:
MIC
AUX выход:
Выходная мощность: 2x700 Bт (8 Ом)
Выходная мощность: 2x1400 Bт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Эффекты:Два процессора эффектов 24/48-бит; 100 заводских; 20 пользовательских эффектов
Отношение сигнал/шум:&gt;105 дБ
КНИ:&lt;0,01%
Размеры:510х500х150 мм
Вес(кг): 13
Гарантийный срок: 12 месяцев
</v>
      </c>
      <c r="AE2" s="20">
        <v>59900</v>
      </c>
      <c r="AF2" s="140" t="s">
        <v>1827</v>
      </c>
      <c r="AG2" s="2" t="str">
        <f t="shared" ref="AG2:AG42" si="0">CONCATENATE(AQ2,B2)</f>
        <v>MCF G10(1000W) Микшерный пульт активный</v>
      </c>
      <c r="AH2" s="2" t="str">
        <f>CONCATENATE(AR2,AG2)</f>
        <v>MCF G10(1000W) Микшерный пульт активный</v>
      </c>
      <c r="AI2" s="2" t="s">
        <v>1840</v>
      </c>
      <c r="AK2" s="2" t="s">
        <v>1837</v>
      </c>
      <c r="AL2" s="143" t="s">
        <v>1841</v>
      </c>
      <c r="AM2" s="143" t="s">
        <v>1842</v>
      </c>
      <c r="AN2" s="143" t="s">
        <v>1843</v>
      </c>
      <c r="AO2" s="143" t="s">
        <v>1844</v>
      </c>
      <c r="AP2" s="2" t="s">
        <v>1837</v>
      </c>
    </row>
    <row r="3" spans="1:44" ht="409.5" x14ac:dyDescent="0.25">
      <c r="A3" s="38">
        <v>2</v>
      </c>
      <c r="B3" s="14" t="s">
        <v>222</v>
      </c>
      <c r="C3" s="13" t="s">
        <v>89</v>
      </c>
      <c r="D3" s="13"/>
      <c r="E3" s="13"/>
      <c r="F3" s="13"/>
      <c r="G3" s="13" t="s">
        <v>120</v>
      </c>
      <c r="H3" s="13" t="s">
        <v>121</v>
      </c>
      <c r="I3" s="13"/>
      <c r="J3" s="13"/>
      <c r="K3" s="13" t="s">
        <v>93</v>
      </c>
      <c r="L3" s="13" t="s">
        <v>1980</v>
      </c>
      <c r="M3" s="13" t="s">
        <v>96</v>
      </c>
      <c r="N3" s="13" t="s">
        <v>98</v>
      </c>
      <c r="O3" s="13" t="s">
        <v>100</v>
      </c>
      <c r="P3" s="13"/>
      <c r="Q3" s="13" t="s">
        <v>102</v>
      </c>
      <c r="R3" s="13"/>
      <c r="S3" s="13"/>
      <c r="T3" s="13" t="s">
        <v>104</v>
      </c>
      <c r="U3" s="13" t="s">
        <v>105</v>
      </c>
      <c r="V3" s="13" t="s">
        <v>107</v>
      </c>
      <c r="W3" s="13" t="s">
        <v>109</v>
      </c>
      <c r="X3" s="13" t="s">
        <v>223</v>
      </c>
      <c r="Y3" s="13" t="s">
        <v>112</v>
      </c>
      <c r="Z3" s="13" t="s">
        <v>114</v>
      </c>
      <c r="AA3" s="13" t="s">
        <v>122</v>
      </c>
      <c r="AB3" s="13">
        <v>13</v>
      </c>
      <c r="AC3" s="13" t="s">
        <v>119</v>
      </c>
      <c r="AD3" s="13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S1,S4,CHAR(10), U1,U4,CHAR(10), V1,V4,CHAR(10), W1,W4,CHAR(10), X1,X4,CHAR(10), Y1,Y4,CHAR(10), Z1,Z4,CHAR(10), AA1,AA4,CHAR(10), AB1,AB4,CHAR(10), AC1,AC4,CHAR(10), )</f>
        <v xml:space="preserve">Каналы:6 моно 4 стерео
Канал EQ:
MIC
AUX выход:
Выходная мощность: 2х1000 Вт (8 Ом)
Выходная мощность: 2х2000 Вт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Эффекты:Два процессора эффектов 24/48-бит; 100 заводских; 20 пользовательских эффектов
Отношение сигнал/шум:&gt;105 дБ
КНИ:&lt;0,01%
Размеры:510х500х150 мм
Вес(кг): 13
Гарантийный срок: 12 месяцев
</v>
      </c>
      <c r="AE3" s="20">
        <v>64900</v>
      </c>
      <c r="AF3" s="140" t="s">
        <v>1827</v>
      </c>
      <c r="AG3" s="2" t="str">
        <f t="shared" si="0"/>
        <v>MCF G10(1400W) Микшерный пульт активный</v>
      </c>
      <c r="AH3" s="2" t="str">
        <f t="shared" ref="AH3:AH42" si="1">CONCATENATE(AR3,AG3)</f>
        <v>MCF G10(1400W) Микшерный пульт активный</v>
      </c>
      <c r="AI3" s="2" t="s">
        <v>1840</v>
      </c>
      <c r="AK3" s="2" t="s">
        <v>1837</v>
      </c>
      <c r="AL3" s="143" t="s">
        <v>1841</v>
      </c>
      <c r="AM3" s="143" t="s">
        <v>1842</v>
      </c>
      <c r="AN3" s="143" t="s">
        <v>1843</v>
      </c>
      <c r="AO3" s="143" t="s">
        <v>1844</v>
      </c>
      <c r="AP3" s="2" t="s">
        <v>1837</v>
      </c>
    </row>
    <row r="4" spans="1:44" ht="409.5" x14ac:dyDescent="0.25">
      <c r="A4" s="38">
        <v>3</v>
      </c>
      <c r="B4" s="14" t="s">
        <v>224</v>
      </c>
      <c r="C4" s="13" t="s">
        <v>89</v>
      </c>
      <c r="D4" s="13"/>
      <c r="E4" s="13"/>
      <c r="F4" s="13"/>
      <c r="G4" s="13" t="s">
        <v>123</v>
      </c>
      <c r="H4" s="13" t="s">
        <v>124</v>
      </c>
      <c r="I4" s="13"/>
      <c r="J4" s="13"/>
      <c r="K4" s="13" t="s">
        <v>93</v>
      </c>
      <c r="L4" s="13" t="s">
        <v>1980</v>
      </c>
      <c r="M4" s="13" t="s">
        <v>96</v>
      </c>
      <c r="N4" s="13" t="s">
        <v>98</v>
      </c>
      <c r="O4" s="13" t="s">
        <v>100</v>
      </c>
      <c r="P4" s="13"/>
      <c r="Q4" s="13" t="s">
        <v>102</v>
      </c>
      <c r="R4" s="13"/>
      <c r="S4" s="13"/>
      <c r="T4" s="13" t="s">
        <v>104</v>
      </c>
      <c r="U4" s="13" t="s">
        <v>105</v>
      </c>
      <c r="V4" s="13" t="s">
        <v>107</v>
      </c>
      <c r="W4" s="13" t="s">
        <v>109</v>
      </c>
      <c r="X4" s="16" t="s">
        <v>223</v>
      </c>
      <c r="Y4" s="13" t="s">
        <v>112</v>
      </c>
      <c r="Z4" s="13" t="s">
        <v>114</v>
      </c>
      <c r="AA4" s="13" t="s">
        <v>122</v>
      </c>
      <c r="AB4" s="13">
        <v>13</v>
      </c>
      <c r="AC4" s="13" t="s">
        <v>119</v>
      </c>
      <c r="AD4" s="13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S1,S5,CHAR(10), U1,U5,CHAR(10), V1,V5,CHAR(10), W1,W5,CHAR(10), X1,X5,CHAR(10), Y1,Y5,CHAR(10), Z1,Z5,CHAR(10), AA1,AA5,CHAR(10), AB1,AB5,CHAR(10), AC1,AC5,CHAR(10), )</f>
        <v xml:space="preserve">Каналы:12 моно 4 стерео
Канал EQ:
MIC
AUX выход:
Выходная мощность: 2x500 Bт (8 Ом)
Выходная мощность: 2x1000 Bт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Эффекты:Два процессора эффектов 24/48-бит; 100 заводских; 20 пользовательских эффектов
Отношение сигнал/шум:&gt;105 дБ
КНИ:&lt;0,01%
Размеры:160х660х500 мм
Вес(кг): 9 пассив/ 16 актив
Гарантийный срок: 12 месяцев
</v>
      </c>
      <c r="AE4" s="20">
        <v>69900</v>
      </c>
      <c r="AF4" s="140" t="s">
        <v>1827</v>
      </c>
      <c r="AG4" s="2" t="str">
        <f t="shared" si="0"/>
        <v>MCF G10(2000W) Микшерный пульт активный</v>
      </c>
      <c r="AH4" s="2" t="str">
        <f t="shared" si="1"/>
        <v>MCF G10(2000W) Микшерный пульт активный</v>
      </c>
      <c r="AI4" s="2" t="s">
        <v>1840</v>
      </c>
      <c r="AK4" s="2" t="s">
        <v>1837</v>
      </c>
      <c r="AL4" s="143" t="s">
        <v>1841</v>
      </c>
      <c r="AM4" s="143" t="s">
        <v>1842</v>
      </c>
      <c r="AN4" s="143" t="s">
        <v>1843</v>
      </c>
      <c r="AO4" s="143" t="s">
        <v>1844</v>
      </c>
      <c r="AP4" s="2" t="s">
        <v>1837</v>
      </c>
    </row>
    <row r="5" spans="1:44" ht="408.75" customHeight="1" x14ac:dyDescent="0.25">
      <c r="A5" s="38">
        <v>4</v>
      </c>
      <c r="B5" s="14" t="s">
        <v>225</v>
      </c>
      <c r="C5" s="13" t="s">
        <v>125</v>
      </c>
      <c r="D5" s="13"/>
      <c r="E5" s="13"/>
      <c r="F5" s="13"/>
      <c r="G5" s="13" t="s">
        <v>126</v>
      </c>
      <c r="H5" s="13" t="s">
        <v>127</v>
      </c>
      <c r="I5" s="13"/>
      <c r="J5" s="13"/>
      <c r="K5" s="13" t="s">
        <v>93</v>
      </c>
      <c r="L5" s="13" t="s">
        <v>1980</v>
      </c>
      <c r="M5" s="13" t="s">
        <v>96</v>
      </c>
      <c r="N5" s="13" t="s">
        <v>98</v>
      </c>
      <c r="O5" s="13" t="s">
        <v>100</v>
      </c>
      <c r="P5" s="13"/>
      <c r="Q5" s="13" t="s">
        <v>102</v>
      </c>
      <c r="R5" s="13"/>
      <c r="S5" s="13"/>
      <c r="T5" s="13" t="s">
        <v>104</v>
      </c>
      <c r="U5" s="13" t="s">
        <v>105</v>
      </c>
      <c r="V5" s="13" t="s">
        <v>107</v>
      </c>
      <c r="W5" s="13" t="s">
        <v>109</v>
      </c>
      <c r="X5" s="13" t="s">
        <v>223</v>
      </c>
      <c r="Y5" s="13" t="s">
        <v>112</v>
      </c>
      <c r="Z5" s="13" t="s">
        <v>114</v>
      </c>
      <c r="AA5" s="13" t="s">
        <v>128</v>
      </c>
      <c r="AB5" s="13" t="s">
        <v>1981</v>
      </c>
      <c r="AC5" s="13" t="s">
        <v>119</v>
      </c>
      <c r="AD5" s="13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S1,S6,CHAR(10), U1,U6,CHAR(10), V1,V6,CHAR(10), W1,W6,CHAR(10), X1,X6,CHAR(10), Y1,Y6,CHAR(10), Z1,Z6,CHAR(10), AA1,AA6,CHAR(10), AB1,AB6,CHAR(10), AC1,AC6,CHAR(10), )</f>
        <v xml:space="preserve">Каналы:12 моно 4 стерео
Канал EQ:
MIC
AUX выход:
Выходная мощность: 2x700 Вт (8 Ом)
Выходная мощность: 2x1400 Вт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Эффекты:2x120 DSP; Два процессора эффектов 24/48-бит; 100 заводских; 20 пользовательских эффектов
Отношение сигнал/шум:&gt;105 дБ
КНИ:&lt;0,01%
Размеры:665х500х150 мм
Вес(кг): 16
Гарантийный срок: 12 месяцев
</v>
      </c>
      <c r="AE5" s="20">
        <v>64900</v>
      </c>
      <c r="AF5" s="140" t="s">
        <v>1827</v>
      </c>
      <c r="AG5" s="2" t="str">
        <f t="shared" si="0"/>
        <v>MCF G16(1000W) Микшерный пульт активный</v>
      </c>
      <c r="AH5" s="2" t="str">
        <f t="shared" si="1"/>
        <v>MCF G16(1000W) Микшерный пульт активный</v>
      </c>
      <c r="AI5" s="2" t="s">
        <v>1840</v>
      </c>
      <c r="AK5" s="2" t="s">
        <v>1837</v>
      </c>
      <c r="AL5" s="143" t="s">
        <v>1841</v>
      </c>
      <c r="AM5" s="143" t="s">
        <v>1842</v>
      </c>
      <c r="AN5" s="143" t="s">
        <v>1843</v>
      </c>
      <c r="AO5" s="143" t="s">
        <v>1844</v>
      </c>
      <c r="AP5" s="2" t="s">
        <v>1837</v>
      </c>
    </row>
    <row r="6" spans="1:44" ht="409.5" x14ac:dyDescent="0.25">
      <c r="A6" s="38">
        <v>5</v>
      </c>
      <c r="B6" s="13" t="s">
        <v>226</v>
      </c>
      <c r="C6" s="13" t="s">
        <v>125</v>
      </c>
      <c r="D6" s="13"/>
      <c r="E6" s="13"/>
      <c r="F6" s="13"/>
      <c r="G6" s="13" t="s">
        <v>129</v>
      </c>
      <c r="H6" s="13" t="s">
        <v>130</v>
      </c>
      <c r="I6" s="13"/>
      <c r="J6" s="13"/>
      <c r="K6" s="13" t="s">
        <v>93</v>
      </c>
      <c r="L6" s="13" t="s">
        <v>1980</v>
      </c>
      <c r="M6" s="13" t="s">
        <v>96</v>
      </c>
      <c r="N6" s="13" t="s">
        <v>98</v>
      </c>
      <c r="O6" s="13" t="s">
        <v>100</v>
      </c>
      <c r="P6" s="13"/>
      <c r="Q6" s="13" t="s">
        <v>102</v>
      </c>
      <c r="R6" s="13"/>
      <c r="S6" s="13"/>
      <c r="T6" s="13" t="s">
        <v>104</v>
      </c>
      <c r="U6" s="13" t="s">
        <v>105</v>
      </c>
      <c r="V6" s="13" t="s">
        <v>107</v>
      </c>
      <c r="W6" s="13" t="s">
        <v>109</v>
      </c>
      <c r="X6" s="15" t="s">
        <v>227</v>
      </c>
      <c r="Y6" s="13" t="s">
        <v>112</v>
      </c>
      <c r="Z6" s="13" t="s">
        <v>114</v>
      </c>
      <c r="AA6" s="13" t="s">
        <v>131</v>
      </c>
      <c r="AB6" s="13">
        <v>16</v>
      </c>
      <c r="AC6" s="13" t="s">
        <v>119</v>
      </c>
      <c r="AD6" s="13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S1,S7,CHAR(10), U1,U7,CHAR(10), V1,V7,CHAR(10), W1,W7,CHAR(10), X1,X7,CHAR(10), Y1,Y7,CHAR(10), Z1,Z7,CHAR(10), AA1,AA7,CHAR(10), AB1,AB7,CHAR(10), AC1,AC7,CHAR(10), )</f>
        <v xml:space="preserve">Каналы:12 моно 4 стерео
Канал EQ:
MIC
AUX выход:
Выходная мощность: 2x1000 Вт (8 Ом)
Выходная мощность: 2x2000 Вт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Эффекты:Два процессора эффектов 24/48-бит; 100 заводских; 20 пользовательских эффектов
Отношение сигнал/шум:&gt;105 дБ
КНИ:&lt;0,01%
Размеры:665х500х150 мм
Вес(кг): 16
Гарантийный срок: 12 месяцев
</v>
      </c>
      <c r="AE6" s="12" t="s">
        <v>1846</v>
      </c>
      <c r="AF6" s="140" t="s">
        <v>1827</v>
      </c>
      <c r="AG6" s="2" t="str">
        <f t="shared" si="0"/>
        <v>MCF G16(1400W) Микшерный пульт активный</v>
      </c>
      <c r="AH6" s="2" t="str">
        <f t="shared" si="1"/>
        <v>MCF G16(1400W) Микшерный пульт активный</v>
      </c>
      <c r="AI6" s="2" t="s">
        <v>1840</v>
      </c>
      <c r="AK6" s="2" t="s">
        <v>1837</v>
      </c>
      <c r="AL6" s="143" t="s">
        <v>1841</v>
      </c>
      <c r="AM6" s="143" t="s">
        <v>1842</v>
      </c>
      <c r="AN6" s="143" t="s">
        <v>1843</v>
      </c>
      <c r="AO6" s="143" t="s">
        <v>1844</v>
      </c>
      <c r="AP6" s="2" t="s">
        <v>1837</v>
      </c>
    </row>
    <row r="7" spans="1:44" ht="409.5" x14ac:dyDescent="0.25">
      <c r="A7" s="38">
        <v>6</v>
      </c>
      <c r="B7" s="14" t="s">
        <v>228</v>
      </c>
      <c r="C7" s="13" t="s">
        <v>125</v>
      </c>
      <c r="D7" s="13"/>
      <c r="E7" s="13"/>
      <c r="F7" s="13"/>
      <c r="G7" s="13" t="s">
        <v>132</v>
      </c>
      <c r="H7" s="13" t="s">
        <v>133</v>
      </c>
      <c r="I7" s="13"/>
      <c r="J7" s="13"/>
      <c r="K7" s="13" t="s">
        <v>93</v>
      </c>
      <c r="L7" s="13" t="s">
        <v>1980</v>
      </c>
      <c r="M7" s="13" t="s">
        <v>96</v>
      </c>
      <c r="N7" s="13" t="s">
        <v>98</v>
      </c>
      <c r="O7" s="13" t="s">
        <v>100</v>
      </c>
      <c r="P7" s="13"/>
      <c r="Q7" s="13" t="s">
        <v>102</v>
      </c>
      <c r="R7" s="13"/>
      <c r="S7" s="13"/>
      <c r="T7" s="13" t="s">
        <v>104</v>
      </c>
      <c r="U7" s="13" t="s">
        <v>105</v>
      </c>
      <c r="V7" s="13" t="s">
        <v>107</v>
      </c>
      <c r="W7" s="13" t="s">
        <v>109</v>
      </c>
      <c r="X7" s="15" t="s">
        <v>223</v>
      </c>
      <c r="Y7" s="13" t="s">
        <v>112</v>
      </c>
      <c r="Z7" s="13" t="s">
        <v>114</v>
      </c>
      <c r="AA7" s="13" t="s">
        <v>131</v>
      </c>
      <c r="AB7" s="13">
        <v>16</v>
      </c>
      <c r="AC7" s="13" t="s">
        <v>119</v>
      </c>
      <c r="AD7" s="13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S1,S8,CHAR(10), U1,U8,CHAR(10), V1,V8,CHAR(10), W1,W8,CHAR(10), X1,X8,CHAR(10), Y1,Y8,CHAR(10), Z1,Z8,CHAR(10), AA1,AA8,CHAR(10), AB1,AB8,CHAR(10), AC1,AC8,CHAR(10), )</f>
        <v xml:space="preserve">Каналы:12 моно 4 стерео
Канал EQ:
MIC
AUX выход:
Выходная мощность: 2x1200 Вт (8 Ом)
Выходная мощность: 2x2400 Вт (4 Ом)
Потребляемая мощность:
Группа баз:
Сопротивление:4 Ом 8 Ом 16 Ом
Частотный диапазон:20 Гц - 20ц
Эквалайзер общий:11-ти полосный 
Моно дорожка:4х полосная эквализация
Стерео дорожки:3х полосная эквализация
AUX шины
USB, звуковая карта:есть
Bluetooth:
USB:
фейдеррегулятор:MON1 MON 2 МАСТЕР СТЕРЕО
Аудио интерфейс:USB 2.0
Фантомное питание:+48 В
Эффекты:Два процессора эффектов 24/48-бит; 100 заводских;20 пользовательских эффектов
Отношение сигнал/шум:&gt;105 дБ
КНИ:&lt;0,01%
Размеры:665х500х150 мм
Вес(кг): 16
Гарантийный срок: 12 месяцев
</v>
      </c>
      <c r="AE7" s="12" t="s">
        <v>1847</v>
      </c>
      <c r="AF7" s="140" t="s">
        <v>1827</v>
      </c>
      <c r="AG7" s="2" t="str">
        <f t="shared" si="0"/>
        <v>MCF G16(2000W) Микшерный пульт активный</v>
      </c>
      <c r="AH7" s="2" t="str">
        <f t="shared" si="1"/>
        <v>MCF G16(2000W) Микшерный пульт активный</v>
      </c>
      <c r="AI7" s="2" t="s">
        <v>1840</v>
      </c>
      <c r="AK7" s="2" t="s">
        <v>1837</v>
      </c>
      <c r="AL7" s="143" t="s">
        <v>1841</v>
      </c>
      <c r="AM7" s="143" t="s">
        <v>1842</v>
      </c>
      <c r="AN7" s="143" t="s">
        <v>1843</v>
      </c>
      <c r="AO7" s="143" t="s">
        <v>1844</v>
      </c>
      <c r="AP7" s="2" t="s">
        <v>1837</v>
      </c>
    </row>
    <row r="8" spans="1:44" ht="409.5" x14ac:dyDescent="0.25">
      <c r="A8" s="38">
        <v>7</v>
      </c>
      <c r="B8" s="14" t="s">
        <v>229</v>
      </c>
      <c r="C8" s="13" t="s">
        <v>125</v>
      </c>
      <c r="D8" s="13"/>
      <c r="E8" s="13"/>
      <c r="F8" s="13"/>
      <c r="G8" s="13" t="s">
        <v>134</v>
      </c>
      <c r="H8" s="13" t="s">
        <v>135</v>
      </c>
      <c r="I8" s="13"/>
      <c r="J8" s="13"/>
      <c r="K8" s="13" t="s">
        <v>93</v>
      </c>
      <c r="L8" s="13" t="s">
        <v>1980</v>
      </c>
      <c r="M8" s="13" t="s">
        <v>96</v>
      </c>
      <c r="N8" s="13" t="s">
        <v>98</v>
      </c>
      <c r="O8" s="13" t="s">
        <v>100</v>
      </c>
      <c r="P8" s="13"/>
      <c r="Q8" s="13" t="s">
        <v>136</v>
      </c>
      <c r="R8" s="13"/>
      <c r="S8" s="13"/>
      <c r="T8" s="13" t="s">
        <v>104</v>
      </c>
      <c r="U8" s="13" t="s">
        <v>105</v>
      </c>
      <c r="V8" s="13" t="s">
        <v>107</v>
      </c>
      <c r="W8" s="13" t="s">
        <v>109</v>
      </c>
      <c r="X8" s="15" t="s">
        <v>230</v>
      </c>
      <c r="Y8" s="13" t="s">
        <v>112</v>
      </c>
      <c r="Z8" s="13" t="s">
        <v>114</v>
      </c>
      <c r="AA8" s="13" t="s">
        <v>131</v>
      </c>
      <c r="AB8" s="13">
        <v>16</v>
      </c>
      <c r="AC8" s="13" t="s">
        <v>119</v>
      </c>
      <c r="AD8" s="13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S1,S9,CHAR(10), U1,U9,CHAR(10), V1,V9,CHAR(10), W1,W9,CHAR(10), X1,X9,CHAR(10), Y1,Y9,CHAR(10), Z1,Z9,CHAR(10), AA1,AA9,CHAR(10), AB1,AB9,CHAR(10), AC1,AC9,CHAR(10), )</f>
        <v xml:space="preserve">Каналы:4 моно 2 стерео
Канал EQ:3-полосный  
MIC4
AUX выход:2
Выходная мощность: 
Выходная мощность: 
Потребляемая мощность:40 Вт
Группа баз:
Сопротивление: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Эффекты:2х99 DSP
Отношение сигнал/шум:&gt;105 дБ
КНИ:&lt;0,01%
Размеры:440х425х110 мм
Вес(кг): 5,5
Гарантийный срок: 12 месяцев
</v>
      </c>
      <c r="AE8" s="20">
        <v>79900</v>
      </c>
      <c r="AF8" s="140" t="s">
        <v>1827</v>
      </c>
      <c r="AG8" s="2" t="str">
        <f t="shared" si="0"/>
        <v>MCF G16(2400W) Микшерный пульт активный</v>
      </c>
      <c r="AH8" s="2" t="str">
        <f t="shared" si="1"/>
        <v>MCF G16(2400W) Микшерный пульт активный</v>
      </c>
      <c r="AI8" s="2" t="s">
        <v>1840</v>
      </c>
      <c r="AK8" s="2" t="s">
        <v>1837</v>
      </c>
      <c r="AL8" s="143" t="s">
        <v>1841</v>
      </c>
      <c r="AM8" s="143" t="s">
        <v>1842</v>
      </c>
      <c r="AN8" s="143" t="s">
        <v>1843</v>
      </c>
      <c r="AO8" s="143" t="s">
        <v>1844</v>
      </c>
      <c r="AP8" s="2" t="s">
        <v>1837</v>
      </c>
    </row>
    <row r="9" spans="1:44" ht="409.5" x14ac:dyDescent="0.25">
      <c r="A9" s="38">
        <v>8</v>
      </c>
      <c r="B9" s="14" t="s">
        <v>231</v>
      </c>
      <c r="C9" s="13" t="s">
        <v>137</v>
      </c>
      <c r="D9" s="13" t="s">
        <v>139</v>
      </c>
      <c r="E9" s="13">
        <v>4</v>
      </c>
      <c r="F9" s="13">
        <v>2</v>
      </c>
      <c r="G9" s="5"/>
      <c r="H9" s="5"/>
      <c r="I9" s="13" t="s">
        <v>45</v>
      </c>
      <c r="J9" s="13"/>
      <c r="K9" s="5"/>
      <c r="L9" s="13" t="s">
        <v>1982</v>
      </c>
      <c r="M9" s="13" t="s">
        <v>143</v>
      </c>
      <c r="N9" s="13" t="s">
        <v>100</v>
      </c>
      <c r="O9" s="13" t="s">
        <v>100</v>
      </c>
      <c r="P9" s="13"/>
      <c r="Q9" s="5"/>
      <c r="R9" s="13" t="s">
        <v>102</v>
      </c>
      <c r="S9" s="13" t="s">
        <v>102</v>
      </c>
      <c r="T9" s="5"/>
      <c r="U9" s="5"/>
      <c r="V9" s="5"/>
      <c r="W9" s="13" t="s">
        <v>109</v>
      </c>
      <c r="X9" s="13" t="s">
        <v>146</v>
      </c>
      <c r="Y9" s="13" t="s">
        <v>112</v>
      </c>
      <c r="Z9" s="13" t="s">
        <v>114</v>
      </c>
      <c r="AA9" s="13" t="s">
        <v>147</v>
      </c>
      <c r="AB9" s="13" t="s">
        <v>1983</v>
      </c>
      <c r="AC9" s="13" t="s">
        <v>119</v>
      </c>
      <c r="AD9" s="13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S1,S10,CHAR(10), U1,U10,CHAR(10), V1,V10,CHAR(10), W1,W10,CHAR(10), X1,X10,CHAR(10), Y1,Y10,CHAR(10), Z1,Z10,CHAR(10), AA1,AA10,CHAR(10), AB1,AB10,CHAR(10), AC1,AC10,CHAR(10), )</f>
        <v xml:space="preserve">Каналы:4 моно 2 стерео
Канал EQ:3-полосный
MIC4
AUX выход:2
Выходная мощность: 2х175 Вт (8 Ом)
Выходная мощность: 2х350 Вт (4 Ом)
Потребляемая мощность:
Группа баз: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 440х425х160 мм
Вес(кг):  13,5
Гарантийный срок: 12 месяцев
</v>
      </c>
      <c r="AE9" s="20">
        <v>17900</v>
      </c>
      <c r="AF9" s="140" t="s">
        <v>1827</v>
      </c>
      <c r="AG9" s="2" t="str">
        <f t="shared" si="0"/>
        <v>MCF AM-GM8 Микшерный пульт пассивный</v>
      </c>
      <c r="AH9" s="2" t="str">
        <f t="shared" si="1"/>
        <v>MCF AM-GM8 Микшерный пульт пассивный</v>
      </c>
      <c r="AI9" s="2" t="s">
        <v>1840</v>
      </c>
      <c r="AK9" s="2" t="s">
        <v>1837</v>
      </c>
      <c r="AL9" s="143" t="s">
        <v>1841</v>
      </c>
      <c r="AM9" s="143" t="s">
        <v>1842</v>
      </c>
      <c r="AN9" s="143" t="s">
        <v>1843</v>
      </c>
      <c r="AO9" s="143" t="s">
        <v>1844</v>
      </c>
      <c r="AP9" s="2" t="s">
        <v>1837</v>
      </c>
    </row>
    <row r="10" spans="1:44" ht="409.5" x14ac:dyDescent="0.25">
      <c r="A10" s="38">
        <v>9</v>
      </c>
      <c r="B10" s="14" t="s">
        <v>1857</v>
      </c>
      <c r="C10" s="13" t="s">
        <v>137</v>
      </c>
      <c r="D10" s="13" t="s">
        <v>148</v>
      </c>
      <c r="E10" s="13">
        <v>4</v>
      </c>
      <c r="F10" s="13">
        <v>2</v>
      </c>
      <c r="G10" s="13" t="s">
        <v>149</v>
      </c>
      <c r="H10" s="13" t="s">
        <v>150</v>
      </c>
      <c r="I10" s="5"/>
      <c r="J10" s="5"/>
      <c r="K10" s="13" t="s">
        <v>93</v>
      </c>
      <c r="L10" s="13" t="s">
        <v>1982</v>
      </c>
      <c r="M10" s="13" t="s">
        <v>143</v>
      </c>
      <c r="N10" s="13" t="s">
        <v>100</v>
      </c>
      <c r="O10" s="13" t="s">
        <v>100</v>
      </c>
      <c r="P10" s="13"/>
      <c r="Q10" s="5"/>
      <c r="R10" s="13" t="s">
        <v>102</v>
      </c>
      <c r="S10" s="13" t="s">
        <v>102</v>
      </c>
      <c r="T10" s="5"/>
      <c r="U10" s="5"/>
      <c r="V10" s="5"/>
      <c r="W10" s="13" t="s">
        <v>109</v>
      </c>
      <c r="X10" s="13" t="s">
        <v>151</v>
      </c>
      <c r="Y10" s="13" t="s">
        <v>112</v>
      </c>
      <c r="Z10" s="13" t="s">
        <v>114</v>
      </c>
      <c r="AA10" s="13" t="s">
        <v>152</v>
      </c>
      <c r="AB10" s="13" t="s">
        <v>1984</v>
      </c>
      <c r="AC10" s="13" t="s">
        <v>119</v>
      </c>
      <c r="AD10" s="13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S1,S11,CHAR(10), U1,U11,CHAR(10), V1,V11,CHAR(10), W1,W11,CHAR(10), X1,X11,CHAR(10), Y1,Y11,CHAR(10), Z1,Z11,CHAR(10), AA1,AA11,CHAR(10), AB1,AB11,CHAR(10), AC1,AC11,CHAR(10), )</f>
        <v xml:space="preserve">Каналы:4 моно 2 стерео
Канал EQ:3-полосный
MIC4
AUX выход:2
Выходная мощность: 2x250 Bт (8 Ом)
Выходная мощность: 2х500 Вт (4 Ом)
Потребляемая мощность:
Группа баз: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 440х425х160 мм
Вес(кг):  13,5
Гарантийный срок: 12 месяцев
</v>
      </c>
      <c r="AE10" s="5">
        <v>24900</v>
      </c>
      <c r="AF10" s="140" t="s">
        <v>1827</v>
      </c>
      <c r="AG10" s="2" t="str">
        <f t="shared" si="0"/>
        <v>MCF AM-GM8P(350W) Микшерный пульт активный</v>
      </c>
      <c r="AH10" s="2" t="str">
        <f t="shared" si="1"/>
        <v>MCF AM-GM8P(350W) Микшерный пульт активный</v>
      </c>
      <c r="AI10" s="2" t="s">
        <v>1840</v>
      </c>
      <c r="AK10" s="2" t="s">
        <v>1837</v>
      </c>
      <c r="AL10" s="143" t="s">
        <v>1841</v>
      </c>
      <c r="AM10" s="143" t="s">
        <v>1842</v>
      </c>
      <c r="AN10" s="143" t="s">
        <v>1843</v>
      </c>
      <c r="AO10" s="143" t="s">
        <v>1844</v>
      </c>
      <c r="AP10" s="2" t="s">
        <v>1837</v>
      </c>
    </row>
    <row r="11" spans="1:44" ht="409.5" x14ac:dyDescent="0.25">
      <c r="A11" s="38">
        <v>10</v>
      </c>
      <c r="B11" s="14" t="s">
        <v>232</v>
      </c>
      <c r="C11" s="13" t="s">
        <v>137</v>
      </c>
      <c r="D11" s="13" t="s">
        <v>148</v>
      </c>
      <c r="E11" s="13">
        <v>4</v>
      </c>
      <c r="F11" s="13">
        <v>2</v>
      </c>
      <c r="G11" s="13" t="s">
        <v>153</v>
      </c>
      <c r="H11" s="13" t="s">
        <v>154</v>
      </c>
      <c r="I11" s="5"/>
      <c r="J11" s="5"/>
      <c r="K11" s="13" t="s">
        <v>93</v>
      </c>
      <c r="L11" s="13" t="s">
        <v>1982</v>
      </c>
      <c r="M11" s="13" t="s">
        <v>143</v>
      </c>
      <c r="N11" s="13" t="s">
        <v>100</v>
      </c>
      <c r="O11" s="13" t="s">
        <v>100</v>
      </c>
      <c r="P11" s="13"/>
      <c r="Q11" s="5"/>
      <c r="R11" s="13" t="s">
        <v>102</v>
      </c>
      <c r="S11" s="13" t="s">
        <v>102</v>
      </c>
      <c r="T11" s="5"/>
      <c r="U11" s="5"/>
      <c r="V11" s="5"/>
      <c r="W11" s="13" t="s">
        <v>109</v>
      </c>
      <c r="X11" s="13" t="s">
        <v>151</v>
      </c>
      <c r="Y11" s="13" t="s">
        <v>112</v>
      </c>
      <c r="Z11" s="13" t="s">
        <v>114</v>
      </c>
      <c r="AA11" s="13" t="s">
        <v>152</v>
      </c>
      <c r="AB11" s="13" t="s">
        <v>1984</v>
      </c>
      <c r="AC11" s="13" t="s">
        <v>119</v>
      </c>
      <c r="AD11" s="13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S1,S12,CHAR(10), U1,U12,CHAR(10), V1,V12,CHAR(10), W1,W12,CHAR(10), X1,X12,CHAR(10), Y1,Y12,CHAR(10), Z1,Z12,CHAR(10), AA1,AA12,CHAR(10), AB1,AB12,CHAR(10), AC1,AC12,CHAR(10), )</f>
        <v xml:space="preserve">Каналы:4 моно 2 стерео
Канал EQ:3-полосный
MIC4
AUX выход:2
Выходная мощность: 2x350Вт (8 Ом)
Выходная мощность: 2х700 Вт (4 Ом)
Потребляемая мощность:
Группа баз: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 440х425х160 мм
Вес(кг):  13,5
Гарантийный срок: 12 месяцев
</v>
      </c>
      <c r="AE11" s="20">
        <v>29900</v>
      </c>
      <c r="AF11" s="140" t="s">
        <v>1827</v>
      </c>
      <c r="AG11" s="2" t="str">
        <f t="shared" si="0"/>
        <v>MCF AM-GM8P(500W) Микшерный пульт активный</v>
      </c>
      <c r="AH11" s="2" t="str">
        <f t="shared" si="1"/>
        <v>MCF AM-GM8P(500W) Микшерный пульт активный</v>
      </c>
      <c r="AI11" s="2" t="s">
        <v>1840</v>
      </c>
      <c r="AK11" s="2" t="s">
        <v>1837</v>
      </c>
      <c r="AL11" s="143" t="s">
        <v>1841</v>
      </c>
      <c r="AM11" s="143" t="s">
        <v>1842</v>
      </c>
      <c r="AN11" s="143" t="s">
        <v>1843</v>
      </c>
      <c r="AO11" s="143" t="s">
        <v>1844</v>
      </c>
      <c r="AP11" s="2" t="s">
        <v>1837</v>
      </c>
    </row>
    <row r="12" spans="1:44" ht="409.5" x14ac:dyDescent="0.25">
      <c r="A12" s="38">
        <v>11</v>
      </c>
      <c r="B12" s="14" t="s">
        <v>233</v>
      </c>
      <c r="C12" s="13" t="s">
        <v>137</v>
      </c>
      <c r="D12" s="13" t="s">
        <v>148</v>
      </c>
      <c r="E12" s="13">
        <v>4</v>
      </c>
      <c r="F12" s="13">
        <v>2</v>
      </c>
      <c r="G12" s="13" t="s">
        <v>155</v>
      </c>
      <c r="H12" s="13" t="s">
        <v>156</v>
      </c>
      <c r="I12" s="5"/>
      <c r="J12" s="5"/>
      <c r="K12" s="13" t="s">
        <v>93</v>
      </c>
      <c r="L12" s="13" t="s">
        <v>1982</v>
      </c>
      <c r="M12" s="13" t="s">
        <v>143</v>
      </c>
      <c r="N12" s="13" t="s">
        <v>100</v>
      </c>
      <c r="O12" s="13" t="s">
        <v>100</v>
      </c>
      <c r="P12" s="13"/>
      <c r="Q12" s="5"/>
      <c r="R12" s="13" t="s">
        <v>136</v>
      </c>
      <c r="S12" s="13" t="s">
        <v>136</v>
      </c>
      <c r="T12" s="5"/>
      <c r="U12" s="5"/>
      <c r="V12" s="5"/>
      <c r="W12" s="13" t="s">
        <v>109</v>
      </c>
      <c r="X12" s="13" t="s">
        <v>151</v>
      </c>
      <c r="Y12" s="13" t="s">
        <v>112</v>
      </c>
      <c r="Z12" s="13" t="s">
        <v>114</v>
      </c>
      <c r="AA12" s="13" t="s">
        <v>152</v>
      </c>
      <c r="AB12" s="13" t="s">
        <v>1984</v>
      </c>
      <c r="AC12" s="13" t="s">
        <v>119</v>
      </c>
      <c r="AD12" s="13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S1,S13,CHAR(10), U1,U13,CHAR(10), V1,V13,CHAR(10), W1,W13,CHAR(10), X1,X13,CHAR(10), Y1,Y13,CHAR(10), Z1,Z13,CHAR(10), AA1,AA13,CHAR(10), AB1,AB13,CHAR(10), AC1,AC13,CHAR(10), )</f>
        <v xml:space="preserve">Каналы:8 моно 2 стерео
Канал EQ:3-полосный
MIC8
AUX выход:2
Выходная мощность: 
Выходная мощность: 
Потребляемая мощность:45 Вт
Группа баз:
Сопротивление: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Эффекты:2х99 DSP
Отношение сигнал/шум:&gt;105 дБ
КНИ:&lt;0,01%
Размеры:490х425х110 мм
Вес(кг): 8
Гарантийный срок: 12 месяцев
</v>
      </c>
      <c r="AE12" s="20">
        <v>32900</v>
      </c>
      <c r="AF12" s="140" t="s">
        <v>1827</v>
      </c>
      <c r="AG12" s="2" t="str">
        <f t="shared" si="0"/>
        <v>MCF AM-GM8P(700W) Микшерный пульт активный</v>
      </c>
      <c r="AH12" s="2" t="str">
        <f t="shared" si="1"/>
        <v>MCF AM-GM8P(700W) Микшерный пульт активный</v>
      </c>
      <c r="AI12" s="2" t="s">
        <v>1840</v>
      </c>
      <c r="AK12" s="2" t="s">
        <v>1837</v>
      </c>
      <c r="AL12" s="143" t="s">
        <v>1841</v>
      </c>
      <c r="AM12" s="143" t="s">
        <v>1842</v>
      </c>
      <c r="AN12" s="143" t="s">
        <v>1843</v>
      </c>
      <c r="AO12" s="143" t="s">
        <v>1844</v>
      </c>
      <c r="AP12" s="2" t="s">
        <v>1837</v>
      </c>
    </row>
    <row r="13" spans="1:44" ht="409.5" x14ac:dyDescent="0.25">
      <c r="A13" s="38">
        <v>12</v>
      </c>
      <c r="B13" s="14" t="s">
        <v>234</v>
      </c>
      <c r="C13" s="13" t="s">
        <v>157</v>
      </c>
      <c r="D13" s="13" t="s">
        <v>148</v>
      </c>
      <c r="E13" s="13">
        <v>8</v>
      </c>
      <c r="F13" s="13">
        <v>2</v>
      </c>
      <c r="G13" s="5"/>
      <c r="H13" s="5"/>
      <c r="I13" s="13" t="s">
        <v>158</v>
      </c>
      <c r="J13" s="13"/>
      <c r="K13" s="5"/>
      <c r="L13" s="13" t="s">
        <v>1982</v>
      </c>
      <c r="M13" s="13" t="s">
        <v>143</v>
      </c>
      <c r="N13" s="13" t="s">
        <v>100</v>
      </c>
      <c r="O13" s="13" t="s">
        <v>100</v>
      </c>
      <c r="P13" s="13"/>
      <c r="Q13" s="5"/>
      <c r="R13" s="13" t="s">
        <v>102</v>
      </c>
      <c r="S13" s="13" t="s">
        <v>102</v>
      </c>
      <c r="T13" s="5"/>
      <c r="U13" s="5"/>
      <c r="V13" s="5"/>
      <c r="W13" s="13" t="s">
        <v>109</v>
      </c>
      <c r="X13" s="13" t="s">
        <v>146</v>
      </c>
      <c r="Y13" s="13" t="s">
        <v>112</v>
      </c>
      <c r="Z13" s="13" t="s">
        <v>114</v>
      </c>
      <c r="AA13" s="13" t="s">
        <v>159</v>
      </c>
      <c r="AB13" s="13">
        <v>8</v>
      </c>
      <c r="AC13" s="13" t="s">
        <v>119</v>
      </c>
      <c r="AD13" s="13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S1,S14,CHAR(10), U1,U14,CHAR(10), V1,V14,CHAR(10), W1,W14,CHAR(10), X1,X14,CHAR(10), Y1,Y14,CHAR(10), Z1,Z14,CHAR(10), AA1,AA14,CHAR(10), AB1,AB14,CHAR(10), AC1,AC14,CHAR(10), )</f>
        <v xml:space="preserve">Каналы:8 моно 2 стерео
Канал EQ:3-полосный
MIC8
AUX выход:2
Выходная мощность: 2x250 Bт (8 Ом)
Выходная мощность: 2х500 Вт (4 Ом)
Потребляемая мощность:
Группа баз: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Размеры:490х425х160 мм
Вес(кг): 15
Гарантийный срок: 12 месяцев
</v>
      </c>
      <c r="AE13" s="20">
        <v>19900</v>
      </c>
      <c r="AF13" s="140" t="s">
        <v>1827</v>
      </c>
      <c r="AG13" s="2" t="str">
        <f t="shared" si="0"/>
        <v>MCF AM-GM12 Микшерный пульт активный</v>
      </c>
      <c r="AH13" s="2" t="str">
        <f t="shared" si="1"/>
        <v>MCF AM-GM12 Микшерный пульт активный</v>
      </c>
      <c r="AI13" s="2" t="s">
        <v>1840</v>
      </c>
      <c r="AK13" s="2" t="s">
        <v>1837</v>
      </c>
      <c r="AL13" s="143" t="s">
        <v>1841</v>
      </c>
      <c r="AM13" s="143" t="s">
        <v>1842</v>
      </c>
      <c r="AN13" s="143" t="s">
        <v>1843</v>
      </c>
      <c r="AO13" s="143" t="s">
        <v>1844</v>
      </c>
      <c r="AP13" s="2" t="s">
        <v>1837</v>
      </c>
    </row>
    <row r="14" spans="1:44" ht="409.5" x14ac:dyDescent="0.25">
      <c r="A14" s="38">
        <v>13</v>
      </c>
      <c r="B14" s="14" t="s">
        <v>235</v>
      </c>
      <c r="C14" s="13" t="s">
        <v>157</v>
      </c>
      <c r="D14" s="13" t="s">
        <v>148</v>
      </c>
      <c r="E14" s="13">
        <v>8</v>
      </c>
      <c r="F14" s="13">
        <v>2</v>
      </c>
      <c r="G14" s="13" t="s">
        <v>153</v>
      </c>
      <c r="H14" s="13" t="s">
        <v>154</v>
      </c>
      <c r="I14" s="5"/>
      <c r="J14" s="5"/>
      <c r="K14" s="13" t="s">
        <v>93</v>
      </c>
      <c r="L14" s="13" t="s">
        <v>1982</v>
      </c>
      <c r="M14" s="13" t="s">
        <v>143</v>
      </c>
      <c r="N14" s="13" t="s">
        <v>100</v>
      </c>
      <c r="O14" s="13" t="s">
        <v>100</v>
      </c>
      <c r="P14" s="13"/>
      <c r="Q14" s="5"/>
      <c r="R14" s="13" t="s">
        <v>136</v>
      </c>
      <c r="S14" s="13" t="s">
        <v>136</v>
      </c>
      <c r="T14" s="5"/>
      <c r="U14" s="5"/>
      <c r="V14" s="5"/>
      <c r="W14" s="13" t="s">
        <v>109</v>
      </c>
      <c r="X14" s="13" t="s">
        <v>151</v>
      </c>
      <c r="Y14" s="13" t="s">
        <v>112</v>
      </c>
      <c r="Z14" s="13" t="s">
        <v>114</v>
      </c>
      <c r="AA14" s="13" t="s">
        <v>160</v>
      </c>
      <c r="AB14" s="13">
        <v>15</v>
      </c>
      <c r="AC14" s="13" t="s">
        <v>119</v>
      </c>
      <c r="AD14" s="13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S1,S15,CHAR(10), U1,U15,CHAR(10), V1,V15,CHAR(10), W1,W15,CHAR(10), X1,X15,CHAR(10), Y1,Y15,CHAR(10), Z1,Z15,CHAR(10), AA1,AA15,CHAR(10), AB1,AB15,CHAR(10), AC1,AC15,CHAR(10), )</f>
        <v xml:space="preserve">Каналы:8 моно 2 стерео
Канал EQ:3-полосный
MIC8
AUX выход:2
Выходная мощность: 2x350 Bт (8 Ом)
Выходная мощность: 2х700 Вт (4 Ом)
Потребляемая мощность:
Группа баз: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Размеры:490х425х160 мм
Вес(кг): 15
Гарантийный срок: 12 месяцев
</v>
      </c>
      <c r="AE14" s="20">
        <v>34900</v>
      </c>
      <c r="AF14" s="140" t="s">
        <v>1827</v>
      </c>
      <c r="AG14" s="2" t="str">
        <f t="shared" si="0"/>
        <v>MCF AM-GM12P(500W) Микшерный пульт активный</v>
      </c>
      <c r="AH14" s="2" t="str">
        <f t="shared" si="1"/>
        <v>MCF AM-GM12P(500W) Микшерный пульт активный</v>
      </c>
      <c r="AI14" s="2" t="s">
        <v>1840</v>
      </c>
      <c r="AK14" s="2" t="s">
        <v>1837</v>
      </c>
      <c r="AL14" s="143" t="s">
        <v>1841</v>
      </c>
      <c r="AM14" s="143" t="s">
        <v>1842</v>
      </c>
      <c r="AN14" s="143" t="s">
        <v>1843</v>
      </c>
      <c r="AO14" s="143" t="s">
        <v>1844</v>
      </c>
      <c r="AP14" s="2" t="s">
        <v>1837</v>
      </c>
    </row>
    <row r="15" spans="1:44" ht="409.5" x14ac:dyDescent="0.25">
      <c r="A15" s="38">
        <v>14</v>
      </c>
      <c r="B15" s="14" t="s">
        <v>236</v>
      </c>
      <c r="C15" s="13" t="s">
        <v>157</v>
      </c>
      <c r="D15" s="13" t="s">
        <v>148</v>
      </c>
      <c r="E15" s="13">
        <v>8</v>
      </c>
      <c r="F15" s="13">
        <v>2</v>
      </c>
      <c r="G15" s="13" t="s">
        <v>161</v>
      </c>
      <c r="H15" s="13" t="s">
        <v>156</v>
      </c>
      <c r="I15" s="5"/>
      <c r="J15" s="5"/>
      <c r="K15" s="13" t="s">
        <v>93</v>
      </c>
      <c r="L15" s="13" t="s">
        <v>1982</v>
      </c>
      <c r="M15" s="13" t="s">
        <v>143</v>
      </c>
      <c r="N15" s="13" t="s">
        <v>100</v>
      </c>
      <c r="O15" s="13" t="s">
        <v>100</v>
      </c>
      <c r="P15" s="13"/>
      <c r="Q15" s="5"/>
      <c r="R15" s="13" t="s">
        <v>136</v>
      </c>
      <c r="S15" s="13" t="s">
        <v>136</v>
      </c>
      <c r="T15" s="5"/>
      <c r="U15" s="5"/>
      <c r="V15" s="5"/>
      <c r="W15" s="13" t="s">
        <v>109</v>
      </c>
      <c r="X15" s="13" t="s">
        <v>151</v>
      </c>
      <c r="Y15" s="13" t="s">
        <v>112</v>
      </c>
      <c r="Z15" s="13" t="s">
        <v>114</v>
      </c>
      <c r="AA15" s="13" t="s">
        <v>160</v>
      </c>
      <c r="AB15" s="13">
        <v>15</v>
      </c>
      <c r="AC15" s="13" t="s">
        <v>119</v>
      </c>
      <c r="AD15" s="13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S1,S16,CHAR(10), U1,U16,CHAR(10), V1,V16,CHAR(10), W1,W16,CHAR(10), X1,X16,CHAR(10), Y1,Y16,CHAR(10), Z1,Z16,CHAR(10), AA1,AA16,CHAR(10), AB1,AB16,CHAR(10), AC1,AC16,CHAR(10), )</f>
        <v xml:space="preserve">Каналы:12 моно 2 стерео
Канал EQ:3-полосный
MIC12
AUX выход:2
Выходная мощность: 
Выходная мощность: 
Потребляемая мощность:55 Вт
Группа баз:
Сопротивление: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Эффекты:2х99 DSP
Отношение сигнал/шум:&gt;105 дБ
КНИ:&lt;0,01%
Размеры:540х425х110 мм
Вес(кг): 11,5
Гарантийный срок: 12 месяцев
</v>
      </c>
      <c r="AE15" s="20">
        <v>39900</v>
      </c>
      <c r="AF15" s="140" t="s">
        <v>1827</v>
      </c>
      <c r="AG15" s="2" t="str">
        <f t="shared" si="0"/>
        <v>MCF AM-GM12P(700W) Микшерный пульт активный</v>
      </c>
      <c r="AH15" s="2" t="str">
        <f t="shared" si="1"/>
        <v>MCF AM-GM12P(700W) Микшерный пульт активный</v>
      </c>
      <c r="AI15" s="2" t="s">
        <v>1840</v>
      </c>
      <c r="AK15" s="2" t="s">
        <v>1837</v>
      </c>
      <c r="AL15" s="143" t="s">
        <v>1841</v>
      </c>
      <c r="AM15" s="143" t="s">
        <v>1842</v>
      </c>
      <c r="AN15" s="143" t="s">
        <v>1843</v>
      </c>
      <c r="AO15" s="143" t="s">
        <v>1844</v>
      </c>
      <c r="AP15" s="2" t="s">
        <v>1837</v>
      </c>
    </row>
    <row r="16" spans="1:44" ht="409.5" x14ac:dyDescent="0.25">
      <c r="A16" s="38">
        <v>15</v>
      </c>
      <c r="B16" s="14" t="s">
        <v>237</v>
      </c>
      <c r="C16" s="13" t="s">
        <v>162</v>
      </c>
      <c r="D16" s="13" t="s">
        <v>148</v>
      </c>
      <c r="E16" s="13">
        <v>12</v>
      </c>
      <c r="F16" s="13">
        <v>2</v>
      </c>
      <c r="G16" s="5"/>
      <c r="H16" s="5"/>
      <c r="I16" s="13" t="s">
        <v>163</v>
      </c>
      <c r="J16" s="13"/>
      <c r="K16" s="5"/>
      <c r="L16" s="13" t="s">
        <v>1982</v>
      </c>
      <c r="M16" s="13" t="s">
        <v>143</v>
      </c>
      <c r="N16" s="13" t="s">
        <v>100</v>
      </c>
      <c r="O16" s="13" t="s">
        <v>100</v>
      </c>
      <c r="P16" s="13"/>
      <c r="Q16" s="5"/>
      <c r="R16" s="13" t="s">
        <v>136</v>
      </c>
      <c r="S16" s="13" t="s">
        <v>136</v>
      </c>
      <c r="T16" s="5"/>
      <c r="U16" s="5"/>
      <c r="V16" s="5"/>
      <c r="W16" s="13" t="s">
        <v>109</v>
      </c>
      <c r="X16" s="13" t="s">
        <v>146</v>
      </c>
      <c r="Y16" s="13" t="s">
        <v>112</v>
      </c>
      <c r="Z16" s="13" t="s">
        <v>114</v>
      </c>
      <c r="AA16" s="13" t="s">
        <v>164</v>
      </c>
      <c r="AB16" s="13" t="s">
        <v>1985</v>
      </c>
      <c r="AC16" s="13" t="s">
        <v>119</v>
      </c>
      <c r="AD16" s="13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S1,S17,CHAR(10), U1,U17,CHAR(10), V1,V17,CHAR(10), W1,W17,CHAR(10), X1,X17,CHAR(10), Y1,Y17,CHAR(10), Z1,Z17,CHAR(10), AA1,AA17,CHAR(10), AB1,AB17,CHAR(10), AC1,AC17,CHAR(10), )</f>
        <v xml:space="preserve">Каналы:12 моно 2 стерео
Канал EQ:3-полосный
MIC12
AUX выход:2
Выходная мощность: 2х175 Вт (8 Ом)
Выходная мощность: 2х350 Вт (4 Ом)
Потребляемая мощность:
Группа баз:2 стерео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Размеры:540х425х160 мм
Вес(кг): 16,5
Гарантийный срок: 12 месяцев
</v>
      </c>
      <c r="AE16" s="20">
        <v>24900</v>
      </c>
      <c r="AF16" s="140" t="s">
        <v>1827</v>
      </c>
      <c r="AG16" s="2" t="str">
        <f t="shared" si="0"/>
        <v>MCF AM-GM16 Микшерный пульт пассивный</v>
      </c>
      <c r="AH16" s="2" t="str">
        <f t="shared" si="1"/>
        <v>MCF AM-GM16 Микшерный пульт пассивный</v>
      </c>
      <c r="AI16" s="2" t="s">
        <v>1840</v>
      </c>
      <c r="AK16" s="2" t="s">
        <v>1837</v>
      </c>
      <c r="AL16" s="143" t="s">
        <v>1841</v>
      </c>
      <c r="AM16" s="143" t="s">
        <v>1842</v>
      </c>
      <c r="AN16" s="143" t="s">
        <v>1843</v>
      </c>
      <c r="AO16" s="143" t="s">
        <v>1844</v>
      </c>
      <c r="AP16" s="2" t="s">
        <v>1837</v>
      </c>
    </row>
    <row r="17" spans="1:42" ht="409.5" x14ac:dyDescent="0.25">
      <c r="A17" s="38">
        <v>16</v>
      </c>
      <c r="B17" s="14" t="s">
        <v>238</v>
      </c>
      <c r="C17" s="13" t="s">
        <v>162</v>
      </c>
      <c r="D17" s="13" t="s">
        <v>148</v>
      </c>
      <c r="E17" s="13">
        <v>12</v>
      </c>
      <c r="F17" s="13">
        <v>2</v>
      </c>
      <c r="G17" s="13" t="s">
        <v>149</v>
      </c>
      <c r="H17" s="13" t="s">
        <v>150</v>
      </c>
      <c r="J17" s="13" t="s">
        <v>166</v>
      </c>
      <c r="K17" s="13" t="s">
        <v>93</v>
      </c>
      <c r="L17" s="13" t="s">
        <v>1982</v>
      </c>
      <c r="M17" s="13" t="s">
        <v>143</v>
      </c>
      <c r="N17" s="13" t="s">
        <v>100</v>
      </c>
      <c r="O17" s="13" t="s">
        <v>100</v>
      </c>
      <c r="P17" s="13"/>
      <c r="Q17" s="5"/>
      <c r="R17" s="13" t="s">
        <v>136</v>
      </c>
      <c r="S17" s="13" t="s">
        <v>136</v>
      </c>
      <c r="T17" s="5"/>
      <c r="U17" s="5"/>
      <c r="V17" s="5"/>
      <c r="W17" s="13" t="s">
        <v>109</v>
      </c>
      <c r="X17" s="13" t="s">
        <v>151</v>
      </c>
      <c r="Y17" s="13" t="s">
        <v>112</v>
      </c>
      <c r="Z17" s="13" t="s">
        <v>114</v>
      </c>
      <c r="AA17" s="13" t="s">
        <v>167</v>
      </c>
      <c r="AB17" s="13" t="s">
        <v>1884</v>
      </c>
      <c r="AC17" s="13" t="s">
        <v>119</v>
      </c>
      <c r="AD17" s="13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S1,S18,CHAR(10), U1,U18,CHAR(10), V1,V18,CHAR(10), W1,W18,CHAR(10), X1,X18,CHAR(10), Y1,Y18,CHAR(10), Z1,Z18,CHAR(10), AA1,AA18,CHAR(10), AB1,AB18,CHAR(10), AC1,AC18,CHAR(10), )</f>
        <v xml:space="preserve">Каналы:12 моно 2 стерео
Канал EQ:3-полосный
MIC12
AUX выход:2
Выходная мощность: 2x225 Bт (8 Ом)
Выходная мощность: 2х450 Вт (4 Ом)
Потребляемая мощность:
Группа баз:2 стерео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Размеры:540х425х160 мм
Вес(кг): 16,5
Гарантийный срок: 12 месяцев
</v>
      </c>
      <c r="AE17" s="5">
        <v>29900</v>
      </c>
      <c r="AF17" s="140" t="s">
        <v>1827</v>
      </c>
      <c r="AG17" s="2" t="str">
        <f t="shared" si="0"/>
        <v>MCF AM-GM16P(350W) Микшерный пульт активный</v>
      </c>
      <c r="AH17" s="2" t="str">
        <f t="shared" si="1"/>
        <v>MCF AM-GM16P(350W) Микшерный пульт активный</v>
      </c>
      <c r="AI17" s="2" t="s">
        <v>1840</v>
      </c>
      <c r="AK17" s="2" t="s">
        <v>1837</v>
      </c>
      <c r="AL17" s="143" t="s">
        <v>1841</v>
      </c>
      <c r="AM17" s="143" t="s">
        <v>1842</v>
      </c>
      <c r="AN17" s="143" t="s">
        <v>1843</v>
      </c>
      <c r="AO17" s="143" t="s">
        <v>1844</v>
      </c>
      <c r="AP17" s="2" t="s">
        <v>1837</v>
      </c>
    </row>
    <row r="18" spans="1:42" ht="409.5" x14ac:dyDescent="0.25">
      <c r="A18" s="38">
        <v>17</v>
      </c>
      <c r="B18" s="14" t="s">
        <v>239</v>
      </c>
      <c r="C18" s="13" t="s">
        <v>162</v>
      </c>
      <c r="D18" s="13" t="s">
        <v>148</v>
      </c>
      <c r="E18" s="13">
        <v>12</v>
      </c>
      <c r="F18" s="13">
        <v>2</v>
      </c>
      <c r="G18" s="13" t="s">
        <v>168</v>
      </c>
      <c r="H18" s="13" t="s">
        <v>169</v>
      </c>
      <c r="J18" s="13" t="s">
        <v>166</v>
      </c>
      <c r="K18" s="13" t="s">
        <v>93</v>
      </c>
      <c r="L18" s="13" t="s">
        <v>1982</v>
      </c>
      <c r="M18" s="13" t="s">
        <v>143</v>
      </c>
      <c r="N18" s="13" t="s">
        <v>100</v>
      </c>
      <c r="O18" s="13" t="s">
        <v>100</v>
      </c>
      <c r="P18" s="13"/>
      <c r="Q18" s="5"/>
      <c r="R18" s="13" t="s">
        <v>136</v>
      </c>
      <c r="S18" s="13" t="s">
        <v>136</v>
      </c>
      <c r="T18" s="5"/>
      <c r="U18" s="5"/>
      <c r="V18" s="5"/>
      <c r="W18" s="13" t="s">
        <v>109</v>
      </c>
      <c r="X18" s="13" t="s">
        <v>151</v>
      </c>
      <c r="Y18" s="13" t="s">
        <v>112</v>
      </c>
      <c r="Z18" s="13" t="s">
        <v>114</v>
      </c>
      <c r="AA18" s="13" t="s">
        <v>167</v>
      </c>
      <c r="AB18" s="13" t="s">
        <v>1884</v>
      </c>
      <c r="AC18" s="13" t="s">
        <v>119</v>
      </c>
      <c r="AD18" s="13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S1,S19,CHAR(10), U1,U19,CHAR(10), V1,V19,CHAR(10), W1,W19,CHAR(10), X1,X19,CHAR(10), Y1,Y19,CHAR(10), Z1,Z19,CHAR(10), AA1,AA19,CHAR(10), AB1,AB19,CHAR(10), AC1,AC19,CHAR(10), )</f>
        <v xml:space="preserve">Каналы:12 моно 2 стерео
Канал EQ:3-полосный
MIC12
AUX выход:2
Выходная мощность: 2x325Вт (8 Ом)
Выходная мощность: 2х650 Вт (4 Ом)
Потребляемая мощность:
Группа баз:2 стерео
Сопротивление:4 Ом 8 Ом 16 Ом
Частотный диапазон:30 Гц - 20ц
Эквалайзер общий:9-ти полосный эквалайзер
Моно дорожка:3х полосная эквализация
Стерео дорожки:3х полосная эквализация
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Размеры:540х425х160 мм
Вес(кг): 16,5
Гарантийный срок: 
</v>
      </c>
      <c r="AE18" s="20">
        <v>32900</v>
      </c>
      <c r="AF18" s="140" t="s">
        <v>1827</v>
      </c>
      <c r="AG18" s="2" t="str">
        <f t="shared" si="0"/>
        <v>MCF AM-GM16P(450W) Микшерный пульт активный</v>
      </c>
      <c r="AH18" s="2" t="str">
        <f t="shared" si="1"/>
        <v>MCF AM-GM16P(450W) Микшерный пульт активный</v>
      </c>
      <c r="AI18" s="2" t="s">
        <v>1840</v>
      </c>
      <c r="AK18" s="2" t="s">
        <v>1837</v>
      </c>
      <c r="AL18" s="143" t="s">
        <v>1841</v>
      </c>
      <c r="AM18" s="143" t="s">
        <v>1842</v>
      </c>
      <c r="AN18" s="143" t="s">
        <v>1843</v>
      </c>
      <c r="AO18" s="143" t="s">
        <v>1844</v>
      </c>
      <c r="AP18" s="2" t="s">
        <v>1837</v>
      </c>
    </row>
    <row r="19" spans="1:42" ht="63" x14ac:dyDescent="0.25">
      <c r="A19" s="38">
        <v>18</v>
      </c>
      <c r="B19" s="14" t="s">
        <v>240</v>
      </c>
      <c r="C19" s="13" t="s">
        <v>162</v>
      </c>
      <c r="D19" s="13" t="s">
        <v>148</v>
      </c>
      <c r="E19" s="13">
        <v>12</v>
      </c>
      <c r="F19" s="13">
        <v>2</v>
      </c>
      <c r="G19" s="13" t="s">
        <v>170</v>
      </c>
      <c r="H19" s="13" t="s">
        <v>171</v>
      </c>
      <c r="J19" s="13" t="s">
        <v>166</v>
      </c>
      <c r="K19" s="13" t="s">
        <v>93</v>
      </c>
      <c r="L19" s="13" t="s">
        <v>1982</v>
      </c>
      <c r="M19" s="13" t="s">
        <v>143</v>
      </c>
      <c r="N19" s="13" t="s">
        <v>100</v>
      </c>
      <c r="O19" s="13" t="s">
        <v>100</v>
      </c>
      <c r="P19" s="13"/>
      <c r="Q19" s="5"/>
      <c r="R19" s="13" t="s">
        <v>136</v>
      </c>
      <c r="S19" s="13" t="s">
        <v>136</v>
      </c>
      <c r="T19" s="5"/>
      <c r="U19" s="5"/>
      <c r="V19" s="5"/>
      <c r="W19" s="13" t="s">
        <v>109</v>
      </c>
      <c r="X19" s="13" t="s">
        <v>151</v>
      </c>
      <c r="Y19" s="13" t="s">
        <v>112</v>
      </c>
      <c r="Z19" s="13" t="s">
        <v>114</v>
      </c>
      <c r="AA19" s="13" t="s">
        <v>167</v>
      </c>
      <c r="AB19" s="13" t="s">
        <v>1884</v>
      </c>
      <c r="AD19" s="15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S1,S20,CHAR(10), U1,U20,CHAR(10), V1,V20,CHAR(10), W1,W20,CHAR(10), X1,X20,CHAR(10), Y1,Y20,CHAR(10), Z1,Z20,CHAR(10), AA1,AA20,CHAR(10), AB1,AB20,CHAR(10), AC1,AC20,CHAR(10), )</f>
        <v xml:space="preserve">Каналы:6 моно
Канал EQ:3-полосный
MIC6
AUX выход:2
Выходная мощность: 2х150 Вт (8 Ом)
Выходная мощность: 2х300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Размеры:360х435х160 мм
Вес(кг): 12
Гарантийный срок: 12 месяцев
</v>
      </c>
      <c r="AE19" s="20">
        <v>34900</v>
      </c>
      <c r="AF19" s="140" t="s">
        <v>1827</v>
      </c>
      <c r="AG19" s="2" t="str">
        <f t="shared" si="0"/>
        <v>MCF AM-GM16P(650W) Микшерный пульт активный</v>
      </c>
      <c r="AH19" s="2" t="str">
        <f t="shared" si="1"/>
        <v>MCF AM-GM16P(650W) Микшерный пульт активный</v>
      </c>
      <c r="AI19" s="2" t="s">
        <v>1840</v>
      </c>
      <c r="AK19" s="2" t="s">
        <v>1837</v>
      </c>
      <c r="AL19" s="143" t="s">
        <v>1841</v>
      </c>
      <c r="AM19" s="143" t="s">
        <v>1842</v>
      </c>
      <c r="AN19" s="143" t="s">
        <v>1843</v>
      </c>
      <c r="AO19" s="143" t="s">
        <v>1844</v>
      </c>
      <c r="AP19" s="2" t="s">
        <v>1837</v>
      </c>
    </row>
    <row r="20" spans="1:42" ht="409.5" x14ac:dyDescent="0.25">
      <c r="A20" s="38">
        <v>19</v>
      </c>
      <c r="B20" s="14" t="s">
        <v>241</v>
      </c>
      <c r="C20" s="13" t="s">
        <v>172</v>
      </c>
      <c r="D20" s="13" t="s">
        <v>148</v>
      </c>
      <c r="E20" s="13">
        <v>6</v>
      </c>
      <c r="F20" s="13">
        <v>2</v>
      </c>
      <c r="G20" s="13" t="s">
        <v>173</v>
      </c>
      <c r="H20" s="13" t="s">
        <v>174</v>
      </c>
      <c r="I20" s="5"/>
      <c r="J20" s="5"/>
      <c r="K20" s="5"/>
      <c r="L20" s="13" t="s">
        <v>1986</v>
      </c>
      <c r="M20" s="13" t="s">
        <v>175</v>
      </c>
      <c r="N20" s="13" t="s">
        <v>100</v>
      </c>
      <c r="O20" s="5"/>
      <c r="P20" s="5"/>
      <c r="Q20" s="5"/>
      <c r="R20" s="13" t="s">
        <v>136</v>
      </c>
      <c r="S20" s="13" t="s">
        <v>136</v>
      </c>
      <c r="T20" s="5"/>
      <c r="U20" s="5"/>
      <c r="V20" s="5"/>
      <c r="W20" s="13" t="s">
        <v>109</v>
      </c>
      <c r="X20" s="13" t="s">
        <v>176</v>
      </c>
      <c r="Y20" s="13" t="s">
        <v>112</v>
      </c>
      <c r="Z20" s="13" t="s">
        <v>114</v>
      </c>
      <c r="AA20" s="13" t="s">
        <v>177</v>
      </c>
      <c r="AB20" s="13">
        <v>12</v>
      </c>
      <c r="AC20" s="13" t="s">
        <v>119</v>
      </c>
      <c r="AD20" s="13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S1,S21,CHAR(10), U1,U21,CHAR(10), V1,V21,CHAR(10), W1,W21,CHAR(10), X1,X21,CHAR(10), Y1,Y21,CHAR(10), Z1,Z21,CHAR(10), AA1,AA21,CHAR(10), AB1,AB21,CHAR(10), AC1,AC21,CHAR(10), )</f>
        <v xml:space="preserve">Каналы:6 моно
Канал EQ:3-полосный
MIC6
AUX выход:2
Выходная мощность: 2x250 Bт (8 Ом)
Выходная мощность: 2х500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Размеры:360х435х160 мм
Вес(кг): 12
Гарантийный срок: 12 месяцев
</v>
      </c>
      <c r="AE20" s="20">
        <v>19900</v>
      </c>
      <c r="AF20" s="140" t="s">
        <v>1827</v>
      </c>
      <c r="AG20" s="2" t="str">
        <f t="shared" si="0"/>
        <v>MCF AM-LS6 (300W) Микшерный пульт активный</v>
      </c>
      <c r="AH20" s="2" t="str">
        <f t="shared" si="1"/>
        <v>MCF AM-LS6 (300W) Микшерный пульт активный</v>
      </c>
      <c r="AI20" s="2" t="s">
        <v>1840</v>
      </c>
      <c r="AK20" s="2" t="s">
        <v>1837</v>
      </c>
      <c r="AL20" s="143" t="s">
        <v>1841</v>
      </c>
      <c r="AM20" s="143" t="s">
        <v>1842</v>
      </c>
      <c r="AN20" s="143" t="s">
        <v>1843</v>
      </c>
      <c r="AO20" s="143" t="s">
        <v>1844</v>
      </c>
      <c r="AP20" s="2" t="s">
        <v>1837</v>
      </c>
    </row>
    <row r="21" spans="1:42" ht="409.5" x14ac:dyDescent="0.25">
      <c r="A21" s="38">
        <v>20</v>
      </c>
      <c r="B21" s="14" t="s">
        <v>242</v>
      </c>
      <c r="C21" s="13" t="s">
        <v>172</v>
      </c>
      <c r="D21" s="13" t="s">
        <v>148</v>
      </c>
      <c r="E21" s="13">
        <v>6</v>
      </c>
      <c r="F21" s="13">
        <v>2</v>
      </c>
      <c r="G21" s="13" t="s">
        <v>153</v>
      </c>
      <c r="H21" s="13" t="s">
        <v>154</v>
      </c>
      <c r="L21" s="13" t="s">
        <v>1986</v>
      </c>
      <c r="M21" s="13" t="s">
        <v>175</v>
      </c>
      <c r="N21" s="13" t="s">
        <v>100</v>
      </c>
      <c r="R21" s="13" t="s">
        <v>136</v>
      </c>
      <c r="S21" s="13" t="s">
        <v>136</v>
      </c>
      <c r="W21" s="13" t="s">
        <v>109</v>
      </c>
      <c r="X21" s="13" t="s">
        <v>176</v>
      </c>
      <c r="Y21" s="13" t="s">
        <v>112</v>
      </c>
      <c r="Z21" s="13" t="s">
        <v>114</v>
      </c>
      <c r="AA21" s="13" t="s">
        <v>177</v>
      </c>
      <c r="AB21" s="13">
        <v>12</v>
      </c>
      <c r="AC21" s="13" t="s">
        <v>119</v>
      </c>
      <c r="AD21" s="13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S1,S22,CHAR(10), U1,U22,CHAR(10), V1,V22,CHAR(10), W1,W22,CHAR(10), X1,X22,CHAR(10), Y1,Y22,CHAR(10), Z1,Z22,CHAR(10), AA1,AA22,CHAR(10), AB1,AB22,CHAR(10), AC1,AC22,CHAR(10), )</f>
        <v xml:space="preserve">Каналы:8 моно
Канал EQ:3-полосный
MIC8
AUX выход:2
Выходная мощность: 2х150 Вт (8 Ом)
Выходная мощность: 2х300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Размеры:415х435х110 мм
Вес(кг): 5
Гарантийный срок: 12 месяцев
</v>
      </c>
      <c r="AE21" s="20">
        <v>22900</v>
      </c>
      <c r="AF21" s="140" t="s">
        <v>1827</v>
      </c>
      <c r="AG21" s="2" t="str">
        <f t="shared" si="0"/>
        <v>MCF AM-LS6(500W) Микшерный пульт активный</v>
      </c>
      <c r="AH21" s="2" t="str">
        <f t="shared" si="1"/>
        <v>MCF AM-LS6(500W) Микшерный пульт активный</v>
      </c>
      <c r="AI21" s="2" t="s">
        <v>1840</v>
      </c>
      <c r="AK21" s="2" t="s">
        <v>1837</v>
      </c>
      <c r="AL21" s="143" t="s">
        <v>1841</v>
      </c>
      <c r="AM21" s="143" t="s">
        <v>1842</v>
      </c>
      <c r="AN21" s="143" t="s">
        <v>1843</v>
      </c>
      <c r="AO21" s="143" t="s">
        <v>1844</v>
      </c>
      <c r="AP21" s="2" t="s">
        <v>1837</v>
      </c>
    </row>
    <row r="22" spans="1:42" ht="409.5" x14ac:dyDescent="0.25">
      <c r="A22" s="38">
        <v>21</v>
      </c>
      <c r="B22" s="14" t="s">
        <v>243</v>
      </c>
      <c r="C22" s="13" t="s">
        <v>178</v>
      </c>
      <c r="D22" s="13" t="s">
        <v>148</v>
      </c>
      <c r="E22" s="13">
        <v>8</v>
      </c>
      <c r="F22" s="13">
        <v>2</v>
      </c>
      <c r="G22" s="13" t="s">
        <v>173</v>
      </c>
      <c r="H22" s="13" t="s">
        <v>174</v>
      </c>
      <c r="I22" s="5"/>
      <c r="J22" s="5"/>
      <c r="K22" s="5"/>
      <c r="L22" s="13" t="s">
        <v>1986</v>
      </c>
      <c r="M22" s="13" t="s">
        <v>175</v>
      </c>
      <c r="N22" s="13" t="s">
        <v>100</v>
      </c>
      <c r="O22" s="5"/>
      <c r="P22" s="5"/>
      <c r="Q22" s="5"/>
      <c r="R22" s="13" t="s">
        <v>136</v>
      </c>
      <c r="S22" s="13" t="s">
        <v>136</v>
      </c>
      <c r="T22" s="5"/>
      <c r="U22" s="5"/>
      <c r="V22" s="5"/>
      <c r="W22" s="13" t="s">
        <v>109</v>
      </c>
      <c r="X22" s="13" t="s">
        <v>176</v>
      </c>
      <c r="Y22" s="13" t="s">
        <v>112</v>
      </c>
      <c r="Z22" s="13" t="s">
        <v>114</v>
      </c>
      <c r="AA22" s="13" t="s">
        <v>179</v>
      </c>
      <c r="AB22" s="13">
        <v>5</v>
      </c>
      <c r="AC22" s="13" t="s">
        <v>119</v>
      </c>
      <c r="AD22" s="13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S1,S23,CHAR(10), U1,U23,CHAR(10), V1,V23,CHAR(10), W1,W23,CHAR(10), X1,X23,CHAR(10), Y1,Y23,CHAR(10), Z1,Z23,CHAR(10), AA1,AA23,CHAR(10), AB1,AB23,CHAR(10), AC1,AC23,CHAR(10), )</f>
        <v xml:space="preserve">Каналы:8 моно
Канал EQ:3-полосный
MIC8
AUX выход:2
Выходная мощность: 2x250 Bт (8 Ом)
Выходная мощность: 2х500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Размеры:415х435х110 мм
Вес(кг): 5
Гарантийный срок: 12 месяцев
</v>
      </c>
      <c r="AE22" s="20">
        <v>22900</v>
      </c>
      <c r="AF22" s="140" t="s">
        <v>1827</v>
      </c>
      <c r="AG22" s="2" t="str">
        <f t="shared" si="0"/>
        <v>MCF AM-LS8 (300W) Микшерный пульт активный</v>
      </c>
      <c r="AH22" s="2" t="str">
        <f t="shared" si="1"/>
        <v>MCF AM-LS8 (300W) Микшерный пульт активный</v>
      </c>
      <c r="AI22" s="2" t="s">
        <v>1840</v>
      </c>
      <c r="AK22" s="2" t="s">
        <v>1837</v>
      </c>
      <c r="AL22" s="143" t="s">
        <v>1841</v>
      </c>
      <c r="AM22" s="143" t="s">
        <v>1842</v>
      </c>
      <c r="AN22" s="143" t="s">
        <v>1843</v>
      </c>
      <c r="AO22" s="143" t="s">
        <v>1844</v>
      </c>
      <c r="AP22" s="2" t="s">
        <v>1837</v>
      </c>
    </row>
    <row r="23" spans="1:42" ht="409.5" x14ac:dyDescent="0.25">
      <c r="A23" s="38">
        <v>22</v>
      </c>
      <c r="B23" s="14" t="s">
        <v>244</v>
      </c>
      <c r="C23" s="13" t="s">
        <v>178</v>
      </c>
      <c r="D23" s="13" t="s">
        <v>148</v>
      </c>
      <c r="E23" s="13">
        <v>8</v>
      </c>
      <c r="F23" s="13">
        <v>2</v>
      </c>
      <c r="G23" s="13" t="s">
        <v>153</v>
      </c>
      <c r="H23" s="13" t="s">
        <v>154</v>
      </c>
      <c r="I23" s="5"/>
      <c r="J23" s="5"/>
      <c r="K23" s="5"/>
      <c r="L23" s="13" t="s">
        <v>1986</v>
      </c>
      <c r="M23" s="13" t="s">
        <v>175</v>
      </c>
      <c r="N23" s="13" t="s">
        <v>100</v>
      </c>
      <c r="O23" s="5"/>
      <c r="P23" s="5"/>
      <c r="Q23" s="5"/>
      <c r="R23" s="13" t="s">
        <v>136</v>
      </c>
      <c r="S23" s="13" t="s">
        <v>136</v>
      </c>
      <c r="T23" s="5"/>
      <c r="U23" s="5"/>
      <c r="V23" s="5"/>
      <c r="W23" s="13" t="s">
        <v>109</v>
      </c>
      <c r="X23" s="13" t="s">
        <v>176</v>
      </c>
      <c r="Y23" s="13" t="s">
        <v>112</v>
      </c>
      <c r="Z23" s="13" t="s">
        <v>114</v>
      </c>
      <c r="AA23" s="13" t="s">
        <v>179</v>
      </c>
      <c r="AB23" s="13">
        <v>5</v>
      </c>
      <c r="AC23" s="13" t="s">
        <v>119</v>
      </c>
      <c r="AD23" s="13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S1,S24,CHAR(10), U1,U24,CHAR(10), V1,V24,CHAR(10), W1,W24,CHAR(10), X1,X24,CHAR(10), Y1,Y24,CHAR(10), Z1,Z24,CHAR(10), AA1,AA24,CHAR(10), AB1,AB24,CHAR(10), AC1,AC24,CHAR(10), )</f>
        <v xml:space="preserve">Каналы:12 моно
Канал EQ:3-полосный
MIC12
AUX выход:2
Выходная мощность: 2х140 Вт (8 Ом)
Выходная мощность: 2х280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Размеры:470х435х160 мм
Вес(кг): 14,5
Гарантийный срок: 12 месяцев
</v>
      </c>
      <c r="AE23" s="20">
        <v>24900</v>
      </c>
      <c r="AF23" s="140" t="s">
        <v>1827</v>
      </c>
      <c r="AG23" s="2" t="str">
        <f t="shared" si="0"/>
        <v>MCF AM-LS8 (500W) Микшерный пульт активный</v>
      </c>
      <c r="AH23" s="2" t="str">
        <f t="shared" si="1"/>
        <v>MCF AM-LS8 (500W) Микшерный пульт активный</v>
      </c>
      <c r="AI23" s="2" t="s">
        <v>1840</v>
      </c>
      <c r="AK23" s="2" t="s">
        <v>1837</v>
      </c>
      <c r="AL23" s="143" t="s">
        <v>1841</v>
      </c>
      <c r="AM23" s="143" t="s">
        <v>1842</v>
      </c>
      <c r="AN23" s="143" t="s">
        <v>1843</v>
      </c>
      <c r="AO23" s="143" t="s">
        <v>1844</v>
      </c>
      <c r="AP23" s="2" t="s">
        <v>1837</v>
      </c>
    </row>
    <row r="24" spans="1:42" ht="409.5" x14ac:dyDescent="0.25">
      <c r="A24" s="38">
        <v>23</v>
      </c>
      <c r="B24" s="14" t="s">
        <v>245</v>
      </c>
      <c r="C24" s="13" t="s">
        <v>180</v>
      </c>
      <c r="D24" s="13" t="s">
        <v>148</v>
      </c>
      <c r="E24" s="13">
        <v>12</v>
      </c>
      <c r="F24" s="13">
        <v>2</v>
      </c>
      <c r="G24" s="13" t="s">
        <v>181</v>
      </c>
      <c r="H24" s="13" t="s">
        <v>182</v>
      </c>
      <c r="I24" s="5"/>
      <c r="J24" s="5"/>
      <c r="K24" s="5"/>
      <c r="L24" s="13" t="s">
        <v>1986</v>
      </c>
      <c r="M24" s="13" t="s">
        <v>175</v>
      </c>
      <c r="N24" s="13" t="s">
        <v>100</v>
      </c>
      <c r="O24" s="5"/>
      <c r="P24" s="5"/>
      <c r="Q24" s="5"/>
      <c r="R24" s="13" t="s">
        <v>136</v>
      </c>
      <c r="S24" s="13" t="s">
        <v>136</v>
      </c>
      <c r="T24" s="5"/>
      <c r="U24" s="5"/>
      <c r="V24" s="5"/>
      <c r="W24" s="13" t="s">
        <v>109</v>
      </c>
      <c r="X24" s="13" t="s">
        <v>176</v>
      </c>
      <c r="Y24" s="13" t="s">
        <v>112</v>
      </c>
      <c r="Z24" s="13" t="s">
        <v>114</v>
      </c>
      <c r="AA24" s="13" t="s">
        <v>183</v>
      </c>
      <c r="AB24" s="13" t="s">
        <v>1987</v>
      </c>
      <c r="AC24" s="13" t="s">
        <v>119</v>
      </c>
      <c r="AD24" s="13" t="str">
        <f>CONCATENATE( C1,C25,CHAR(10), D1,D25,CHAR(10), E1,E25,CHAR(10), F1,F25,CHAR(10), G1,G25,CHAR(10), H1,H25,CHAR(10), I1,I25,CHAR(10), J1,J25,CHAR(10), K1,K25,CHAR(10), L1,L25,CHAR(10), M1,M25,CHAR(10), N1,N25,CHAR(10), O1,O25,CHAR(10), P1,P25,CHAR(10), Q1,Q25,CHAR(10), R1,R25,CHAR(10), S1,S25,CHAR(10), U1,U25,CHAR(10), V1,V25,CHAR(10), W1,W25,CHAR(10), X1,X25,CHAR(10), Y1,Y25,CHAR(10), Z1,Z25,CHAR(10), AA1,AA25,CHAR(10), AB1,AB25,CHAR(10), AC1,AC25,CHAR(10), )</f>
        <v xml:space="preserve">Каналы:12 моно
Канал EQ:3-полосный
MIC12
AUX выход:2
Выходная мощность: 2x225 Bт (8 Ом)
Выходная мощность: 2х450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Размеры:470х435х110 мм
Вес(кг): 6
Гарантийный срок: 12 месяцев
</v>
      </c>
      <c r="AE24" s="20">
        <v>24900</v>
      </c>
      <c r="AF24" s="140" t="s">
        <v>1827</v>
      </c>
      <c r="AG24" s="2" t="str">
        <f t="shared" si="0"/>
        <v>MCF AM-LS12 (280W) Микшерный пульт активный</v>
      </c>
      <c r="AH24" s="2" t="str">
        <f t="shared" si="1"/>
        <v>MCF AM-LS12 (280W) Микшерный пульт активный</v>
      </c>
      <c r="AI24" s="2" t="s">
        <v>1840</v>
      </c>
      <c r="AK24" s="2" t="s">
        <v>1837</v>
      </c>
      <c r="AL24" s="143" t="s">
        <v>1841</v>
      </c>
      <c r="AM24" s="143" t="s">
        <v>1842</v>
      </c>
      <c r="AN24" s="143" t="s">
        <v>1843</v>
      </c>
      <c r="AO24" s="143" t="s">
        <v>1844</v>
      </c>
      <c r="AP24" s="2" t="s">
        <v>1837</v>
      </c>
    </row>
    <row r="25" spans="1:42" ht="409.5" x14ac:dyDescent="0.25">
      <c r="A25" s="38">
        <v>24</v>
      </c>
      <c r="B25" s="14" t="s">
        <v>246</v>
      </c>
      <c r="C25" s="13" t="s">
        <v>180</v>
      </c>
      <c r="D25" s="13" t="s">
        <v>148</v>
      </c>
      <c r="E25" s="13">
        <v>12</v>
      </c>
      <c r="F25" s="13">
        <v>2</v>
      </c>
      <c r="G25" s="13" t="s">
        <v>168</v>
      </c>
      <c r="H25" s="13" t="s">
        <v>169</v>
      </c>
      <c r="I25" s="5"/>
      <c r="J25" s="5"/>
      <c r="K25" s="5"/>
      <c r="L25" s="13" t="s">
        <v>1986</v>
      </c>
      <c r="M25" s="13" t="s">
        <v>175</v>
      </c>
      <c r="N25" s="13" t="s">
        <v>100</v>
      </c>
      <c r="O25" s="5"/>
      <c r="P25" s="5"/>
      <c r="Q25" s="5"/>
      <c r="R25" s="13" t="s">
        <v>136</v>
      </c>
      <c r="S25" s="13" t="s">
        <v>136</v>
      </c>
      <c r="T25" s="5"/>
      <c r="U25" s="5"/>
      <c r="V25" s="5"/>
      <c r="W25" s="13" t="s">
        <v>109</v>
      </c>
      <c r="X25" s="13" t="s">
        <v>176</v>
      </c>
      <c r="Y25" s="13" t="s">
        <v>112</v>
      </c>
      <c r="Z25" s="13" t="s">
        <v>114</v>
      </c>
      <c r="AA25" s="13" t="s">
        <v>184</v>
      </c>
      <c r="AB25" s="13">
        <v>6</v>
      </c>
      <c r="AC25" s="13" t="s">
        <v>119</v>
      </c>
      <c r="AD25" s="13" t="str">
        <f>CONCATENATE( C1,C26,CHAR(10), D1,D26,CHAR(10), E1,E26,CHAR(10), F1,F26,CHAR(10), G1,G26,CHAR(10), H1,H26,CHAR(10), I1,I26,CHAR(10), J1,J26,CHAR(10), K1,K26,CHAR(10), L1,L26,CHAR(10), M1,M26,CHAR(10), N1,N26,CHAR(10), O1,O26,CHAR(10), P1,P26,CHAR(10), Q1,Q26,CHAR(10), R1,R26,CHAR(10), S1,S26,CHAR(10), U1,U26,CHAR(10), V1,V26,CHAR(10), W1,W26,CHAR(10), X1,X26,CHAR(10), Y1,Y26,CHAR(10), Z1,Z26,CHAR(10), AA1,AA26,CHAR(10), AB1,AB26,CHAR(10), AC1,AC26,CHAR(10), )</f>
        <v xml:space="preserve">Каналы:16 моно
Канал EQ:3-полосный
MIC16
AUX выход:2
Выходная мощность: 2х140 Вт (8 Ом)
Выходная мощность: 2х280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Размеры:525х435х160 мм
Вес(кг): 16
Гарантийный срок: 12 месяцев
</v>
      </c>
      <c r="AE25" s="20">
        <v>29900</v>
      </c>
      <c r="AF25" s="140" t="s">
        <v>1827</v>
      </c>
      <c r="AG25" s="2" t="str">
        <f t="shared" si="0"/>
        <v>MCF AM-LS12 (500W) Микшерный пульт активный</v>
      </c>
      <c r="AH25" s="2" t="str">
        <f t="shared" si="1"/>
        <v>MCF AM-LS12 (500W) Микшерный пульт активный</v>
      </c>
      <c r="AI25" s="2" t="s">
        <v>1840</v>
      </c>
      <c r="AK25" s="2" t="s">
        <v>1837</v>
      </c>
      <c r="AL25" s="143" t="s">
        <v>1841</v>
      </c>
      <c r="AM25" s="143" t="s">
        <v>1842</v>
      </c>
      <c r="AN25" s="143" t="s">
        <v>1843</v>
      </c>
      <c r="AO25" s="143" t="s">
        <v>1844</v>
      </c>
      <c r="AP25" s="2" t="s">
        <v>1837</v>
      </c>
    </row>
    <row r="26" spans="1:42" ht="409.5" x14ac:dyDescent="0.25">
      <c r="A26" s="38">
        <v>25</v>
      </c>
      <c r="B26" s="14" t="s">
        <v>247</v>
      </c>
      <c r="C26" s="13" t="s">
        <v>185</v>
      </c>
      <c r="D26" s="13" t="s">
        <v>148</v>
      </c>
      <c r="E26" s="13">
        <v>16</v>
      </c>
      <c r="F26" s="13">
        <v>2</v>
      </c>
      <c r="G26" s="13" t="s">
        <v>181</v>
      </c>
      <c r="H26" s="13" t="s">
        <v>182</v>
      </c>
      <c r="I26" s="5"/>
      <c r="J26" s="5"/>
      <c r="K26" s="5"/>
      <c r="L26" s="13" t="s">
        <v>1986</v>
      </c>
      <c r="M26" s="13" t="s">
        <v>175</v>
      </c>
      <c r="N26" s="13" t="s">
        <v>100</v>
      </c>
      <c r="O26" s="5"/>
      <c r="P26" s="5"/>
      <c r="Q26" s="5"/>
      <c r="R26" s="13" t="s">
        <v>136</v>
      </c>
      <c r="S26" s="13" t="s">
        <v>136</v>
      </c>
      <c r="T26" s="5"/>
      <c r="U26" s="5"/>
      <c r="V26" s="5"/>
      <c r="W26" s="13" t="s">
        <v>109</v>
      </c>
      <c r="X26" s="13" t="s">
        <v>176</v>
      </c>
      <c r="Y26" s="13" t="s">
        <v>112</v>
      </c>
      <c r="Z26" s="13" t="s">
        <v>114</v>
      </c>
      <c r="AA26" s="13" t="s">
        <v>186</v>
      </c>
      <c r="AB26" s="13">
        <v>16</v>
      </c>
      <c r="AC26" s="13" t="s">
        <v>119</v>
      </c>
      <c r="AD26" s="13" t="str">
        <f>CONCATENATE( C1,C27,CHAR(10), D1,D27,CHAR(10), E1,E27,CHAR(10), F1,F27,CHAR(10), G1,G27,CHAR(10), H1,H27,CHAR(10), I1,I27,CHAR(10), J1,J27,CHAR(10), K1,K27,CHAR(10), L1,L27,CHAR(10), M1,M27,CHAR(10), N1,N27,CHAR(10), O1,O27,CHAR(10), P1,P27,CHAR(10), Q1,Q27,CHAR(10), R1,R27,CHAR(10), S1,S27,CHAR(10), U1,U27,CHAR(10), V1,V27,CHAR(10), W1,W27,CHAR(10), X1,X27,CHAR(10), Y1,Y27,CHAR(10), Z1,Z27,CHAR(10), AA1,AA27,CHAR(10), AB1,AB27,CHAR(10), AC1,AC27,CHAR(10), )</f>
        <v xml:space="preserve">Каналы:16 моно
Канал EQ:3-полосный
MIC16
AUX выход:2
Выходная мощность: 2x225 Bт (8 Ом)
Выходная мощность: 2х450 Вт (4 Ом)
Потребляемая мощность:
Группа баз:
Сопротивление:
Частотный диапазон:40 Гц - 20ц
Эквалайзер общий:7-ми полосный эквалайзер
Моно дорожка:3х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Размеры:525х435х160 мм
Вес(кг): 16
Гарантийный срок: 12 месяцев
</v>
      </c>
      <c r="AE26" s="20">
        <v>27900</v>
      </c>
      <c r="AF26" s="140" t="s">
        <v>1827</v>
      </c>
      <c r="AG26" s="2" t="str">
        <f t="shared" si="0"/>
        <v>MCF AM-LS16 (280W) Микшерный пульт активный</v>
      </c>
      <c r="AH26" s="2" t="str">
        <f t="shared" si="1"/>
        <v>MCF AM-LS16 (280W) Микшерный пульт активный</v>
      </c>
      <c r="AI26" s="2" t="s">
        <v>1840</v>
      </c>
      <c r="AK26" s="2" t="s">
        <v>1837</v>
      </c>
      <c r="AL26" s="143" t="s">
        <v>1841</v>
      </c>
      <c r="AM26" s="143" t="s">
        <v>1842</v>
      </c>
      <c r="AN26" s="143" t="s">
        <v>1843</v>
      </c>
      <c r="AO26" s="143" t="s">
        <v>1844</v>
      </c>
      <c r="AP26" s="2" t="s">
        <v>1837</v>
      </c>
    </row>
    <row r="27" spans="1:42" ht="409.5" x14ac:dyDescent="0.25">
      <c r="A27" s="38">
        <v>26</v>
      </c>
      <c r="B27" s="14" t="s">
        <v>248</v>
      </c>
      <c r="C27" s="13" t="s">
        <v>185</v>
      </c>
      <c r="D27" s="13" t="s">
        <v>148</v>
      </c>
      <c r="E27" s="13">
        <v>16</v>
      </c>
      <c r="F27" s="13">
        <v>2</v>
      </c>
      <c r="G27" s="13" t="s">
        <v>168</v>
      </c>
      <c r="H27" s="13" t="s">
        <v>169</v>
      </c>
      <c r="I27" s="5"/>
      <c r="J27" s="5"/>
      <c r="K27" s="5"/>
      <c r="L27" s="13" t="s">
        <v>1986</v>
      </c>
      <c r="M27" s="13" t="s">
        <v>175</v>
      </c>
      <c r="N27" s="13" t="s">
        <v>100</v>
      </c>
      <c r="O27" s="5"/>
      <c r="P27" s="5"/>
      <c r="Q27" s="5"/>
      <c r="R27" s="13" t="s">
        <v>136</v>
      </c>
      <c r="S27" s="13" t="s">
        <v>136</v>
      </c>
      <c r="T27" s="5"/>
      <c r="U27" s="5"/>
      <c r="V27" s="5"/>
      <c r="W27" s="13" t="s">
        <v>109</v>
      </c>
      <c r="X27" s="13" t="s">
        <v>176</v>
      </c>
      <c r="Y27" s="13" t="s">
        <v>112</v>
      </c>
      <c r="Z27" s="13" t="s">
        <v>114</v>
      </c>
      <c r="AA27" s="13" t="s">
        <v>186</v>
      </c>
      <c r="AB27" s="13">
        <v>16</v>
      </c>
      <c r="AC27" s="13" t="s">
        <v>119</v>
      </c>
      <c r="AD27" s="13" t="str">
        <f>CONCATENATE( C1,C28,CHAR(10), D1,D28,CHAR(10), E1,E28,CHAR(10), F1,F28,CHAR(10), G1,G28,CHAR(10), H1,H28,CHAR(10), I1,I28,CHAR(10), J1,J28,CHAR(10), K1,K28,CHAR(10), L1,L28,CHAR(10), M1,M28,CHAR(10), N1,N28,CHAR(10), O1,O28,CHAR(10), P1,P28,CHAR(10), Q1,Q28,CHAR(10), R1,R28,CHAR(10), S1,S28,CHAR(10), U1,U28,CHAR(10), V1,V28,CHAR(10), W1,W28,CHAR(10), X1,X28,CHAR(10), Y1,Y28,CHAR(10), Z1,Z28,CHAR(10), AA1,AA28,CHAR(10), AB1,AB28,CHAR(10), AC1,AC28,CHAR(10), )</f>
        <v xml:space="preserve">Каналы:2 моно 2 стерео
Канал EQ:3-полосный
MIC2
AUX выход:
Выходная мощность: 
Выходная мощность: 
Потребляемая мощность:30 Вт
Группа баз:
Сопротивление:
Частотный диапазон:20 Гц - 20ц
Эквалайзер общий:3х полосная эквализация
Моно дорожка:2х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Размеры:330х380х110 мм
Вес(кг): 4
Гарантийный срок: 12 месяцев
</v>
      </c>
      <c r="AE27" s="20">
        <v>29900</v>
      </c>
      <c r="AF27" s="140" t="s">
        <v>1827</v>
      </c>
      <c r="AG27" s="2" t="str">
        <f t="shared" si="0"/>
        <v>MCF AM-LS16 (450W) Микшерный пульт активный</v>
      </c>
      <c r="AH27" s="2" t="str">
        <f t="shared" si="1"/>
        <v>MCF AM-LS16 (450W) Микшерный пульт активный</v>
      </c>
      <c r="AI27" s="2" t="s">
        <v>1840</v>
      </c>
      <c r="AK27" s="2" t="s">
        <v>1837</v>
      </c>
      <c r="AL27" s="143" t="s">
        <v>1841</v>
      </c>
      <c r="AM27" s="143" t="s">
        <v>1842</v>
      </c>
      <c r="AN27" s="143" t="s">
        <v>1843</v>
      </c>
      <c r="AO27" s="143" t="s">
        <v>1844</v>
      </c>
      <c r="AP27" s="2" t="s">
        <v>1837</v>
      </c>
    </row>
    <row r="28" spans="1:42" ht="409.5" x14ac:dyDescent="0.25">
      <c r="A28" s="38">
        <v>27</v>
      </c>
      <c r="B28" s="14" t="s">
        <v>252</v>
      </c>
      <c r="C28" s="13" t="s">
        <v>187</v>
      </c>
      <c r="D28" s="13" t="s">
        <v>148</v>
      </c>
      <c r="E28" s="13">
        <v>2</v>
      </c>
      <c r="F28" s="5"/>
      <c r="G28" s="5"/>
      <c r="H28" s="5"/>
      <c r="I28" s="13" t="s">
        <v>188</v>
      </c>
      <c r="J28" s="13"/>
      <c r="K28" s="5"/>
      <c r="L28" s="13" t="s">
        <v>1980</v>
      </c>
      <c r="M28" s="13" t="s">
        <v>100</v>
      </c>
      <c r="N28" s="13" t="s">
        <v>189</v>
      </c>
      <c r="O28" s="5"/>
      <c r="P28" s="5"/>
      <c r="Q28" s="5"/>
      <c r="R28" s="13" t="s">
        <v>136</v>
      </c>
      <c r="S28" s="13" t="s">
        <v>136</v>
      </c>
      <c r="T28" s="5"/>
      <c r="U28" s="5"/>
      <c r="V28" s="5"/>
      <c r="W28" s="13" t="s">
        <v>109</v>
      </c>
      <c r="X28" s="13" t="s">
        <v>176</v>
      </c>
      <c r="Y28" s="13" t="s">
        <v>112</v>
      </c>
      <c r="Z28" s="13" t="s">
        <v>114</v>
      </c>
      <c r="AA28" s="13" t="s">
        <v>190</v>
      </c>
      <c r="AB28" s="13">
        <v>4</v>
      </c>
      <c r="AC28" s="13" t="s">
        <v>119</v>
      </c>
      <c r="AD28" s="13" t="str">
        <f>CONCATENATE( C1,C29,CHAR(10), D1,D29,CHAR(10), E1,E29,CHAR(10), F1,F29,CHAR(10), G1,G29,CHAR(10), H1,H29,CHAR(10), I1,I29,CHAR(10), J1,J29,CHAR(10), K1,K29,CHAR(10), L1,L29,CHAR(10), M1,M29,CHAR(10), N1,N29,CHAR(10), O1,O29,CHAR(10), P1,P29,CHAR(10), Q1,Q29,CHAR(10), R1,R29,CHAR(10), S1,S29,CHAR(10), U1,U29,CHAR(10), V1,V29,CHAR(10), W1,W29,CHAR(10), X1,X29,CHAR(10), Y1,Y29,CHAR(10), Z1,Z29,CHAR(10), AA1,AA29,CHAR(10), AB1,AB29,CHAR(10), AC1,AC29,CHAR(10), )</f>
        <v xml:space="preserve">Каналы:4 моно 2 стерео
Канал EQ:3-полосный
MIC4
AUX выход:
Выходная мощность: 
Выходная мощность: 
Потребляемая мощность:40 Вт
Группа баз:
Сопротивление:
Частотный диапазон:20 Гц - 20ц
Эквалайзер общий:3х полосная эквализация
Моно дорожка:2х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Размеры:360х380х110 мм
Вес(кг): 5
Гарантийный срок: 12 месяцев
</v>
      </c>
      <c r="AE28" s="20">
        <v>12900</v>
      </c>
      <c r="AF28" s="140" t="s">
        <v>1827</v>
      </c>
      <c r="AG28" s="2" t="str">
        <f t="shared" si="0"/>
        <v>MCF AM-MINI 6 Микшерный пульт пассивный</v>
      </c>
      <c r="AH28" s="2" t="str">
        <f t="shared" si="1"/>
        <v>MCF AM-MINI 6 Микшерный пульт пассивный</v>
      </c>
      <c r="AI28" s="2" t="s">
        <v>1840</v>
      </c>
      <c r="AK28" s="2" t="s">
        <v>1837</v>
      </c>
      <c r="AL28" s="143" t="s">
        <v>1841</v>
      </c>
      <c r="AM28" s="143" t="s">
        <v>1842</v>
      </c>
      <c r="AN28" s="143" t="s">
        <v>1843</v>
      </c>
      <c r="AO28" s="143" t="s">
        <v>1844</v>
      </c>
      <c r="AP28" s="2" t="s">
        <v>1837</v>
      </c>
    </row>
    <row r="29" spans="1:42" ht="409.5" x14ac:dyDescent="0.25">
      <c r="A29" s="38">
        <v>28</v>
      </c>
      <c r="B29" s="14" t="s">
        <v>253</v>
      </c>
      <c r="C29" s="13" t="s">
        <v>137</v>
      </c>
      <c r="D29" s="13" t="s">
        <v>148</v>
      </c>
      <c r="E29" s="13">
        <v>4</v>
      </c>
      <c r="F29" s="5"/>
      <c r="G29" s="5"/>
      <c r="H29" s="5"/>
      <c r="I29" s="13" t="s">
        <v>45</v>
      </c>
      <c r="J29" s="13"/>
      <c r="K29" s="5"/>
      <c r="L29" s="13" t="s">
        <v>1980</v>
      </c>
      <c r="M29" s="13" t="s">
        <v>100</v>
      </c>
      <c r="N29" s="13" t="s">
        <v>189</v>
      </c>
      <c r="O29" s="5"/>
      <c r="P29" s="5"/>
      <c r="Q29" s="5"/>
      <c r="R29" s="13" t="s">
        <v>136</v>
      </c>
      <c r="S29" s="13" t="s">
        <v>136</v>
      </c>
      <c r="T29" s="5"/>
      <c r="U29" s="5"/>
      <c r="V29" s="5"/>
      <c r="W29" s="13" t="s">
        <v>109</v>
      </c>
      <c r="X29" s="13" t="s">
        <v>176</v>
      </c>
      <c r="Y29" s="13" t="s">
        <v>112</v>
      </c>
      <c r="Z29" s="13" t="s">
        <v>114</v>
      </c>
      <c r="AA29" s="13" t="s">
        <v>191</v>
      </c>
      <c r="AB29" s="13">
        <v>5</v>
      </c>
      <c r="AC29" s="13" t="s">
        <v>119</v>
      </c>
      <c r="AD29" s="13" t="str">
        <f>CONCATENATE( C1,C30,CHAR(10), D1,D30,CHAR(10), E1,E30,CHAR(10), F1,F30,CHAR(10), G1,G30,CHAR(10), H1,H30,CHAR(10), I1,I30,CHAR(10), J1,J30,CHAR(10), K1,K30,CHAR(10), L1,L30,CHAR(10), M1,M30,CHAR(10), N1,N30,CHAR(10), O1,O30,CHAR(10), P1,P30,CHAR(10), Q1,Q30,CHAR(10), R1,R30,CHAR(10), S1,S30,CHAR(10), U1,U30,CHAR(10), V1,V30,CHAR(10), W1,W30,CHAR(10), X1,X30,CHAR(10), Y1,Y30,CHAR(10), Z1,Z30,CHAR(10), AA1,AA30,CHAR(10), AB1,AB30,CHAR(10), AC1,AC30,CHAR(10), )</f>
        <v xml:space="preserve">Каналы:8 моно 2 стерео
Канал EQ:3-полосный
MIC8
AUX выход:
Выходная мощность: 
Выходная мощность: 
Потребляемая мощность:45 Вт
Группа баз:
Сопротивление:
Частотный диапазон:20 Гц - 20ц
Эквалайзер общий:3х полосная эквализация
Моно дорожка:2х полосная эквализация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Размеры:405х380х110 мм
Вес(кг): 6
Гарантийный срок: 12 месяцев
</v>
      </c>
      <c r="AE29" s="20">
        <v>14900</v>
      </c>
      <c r="AF29" s="140" t="s">
        <v>1827</v>
      </c>
      <c r="AG29" s="2" t="str">
        <f t="shared" si="0"/>
        <v>MCF AM-MINI 8 Микшерный пульт пассивный</v>
      </c>
      <c r="AH29" s="2" t="str">
        <f t="shared" si="1"/>
        <v>MCF AM-MINI 8 Микшерный пульт пассивный</v>
      </c>
      <c r="AI29" s="2" t="s">
        <v>1840</v>
      </c>
      <c r="AK29" s="2" t="s">
        <v>1837</v>
      </c>
      <c r="AL29" s="143" t="s">
        <v>1841</v>
      </c>
      <c r="AM29" s="143" t="s">
        <v>1842</v>
      </c>
      <c r="AN29" s="143" t="s">
        <v>1843</v>
      </c>
      <c r="AO29" s="143" t="s">
        <v>1844</v>
      </c>
      <c r="AP29" s="2" t="s">
        <v>1837</v>
      </c>
    </row>
    <row r="30" spans="1:42" ht="409.5" x14ac:dyDescent="0.25">
      <c r="A30" s="38">
        <v>29</v>
      </c>
      <c r="B30" s="14" t="s">
        <v>254</v>
      </c>
      <c r="C30" s="13" t="s">
        <v>157</v>
      </c>
      <c r="D30" s="13" t="s">
        <v>148</v>
      </c>
      <c r="E30" s="13">
        <v>8</v>
      </c>
      <c r="F30" s="5"/>
      <c r="G30" s="5"/>
      <c r="H30" s="5"/>
      <c r="I30" s="13" t="s">
        <v>158</v>
      </c>
      <c r="J30" s="13"/>
      <c r="K30" s="5"/>
      <c r="L30" s="13" t="s">
        <v>1980</v>
      </c>
      <c r="M30" s="13" t="s">
        <v>100</v>
      </c>
      <c r="N30" s="13" t="s">
        <v>189</v>
      </c>
      <c r="O30" s="5"/>
      <c r="P30" s="5"/>
      <c r="Q30" s="5"/>
      <c r="R30" s="13" t="s">
        <v>136</v>
      </c>
      <c r="S30" s="13" t="s">
        <v>136</v>
      </c>
      <c r="T30" s="5"/>
      <c r="U30" s="5"/>
      <c r="V30" s="5"/>
      <c r="W30" s="13" t="s">
        <v>109</v>
      </c>
      <c r="X30" s="13" t="s">
        <v>176</v>
      </c>
      <c r="Y30" s="13" t="s">
        <v>112</v>
      </c>
      <c r="Z30" s="13" t="s">
        <v>114</v>
      </c>
      <c r="AA30" s="13" t="s">
        <v>192</v>
      </c>
      <c r="AB30" s="13">
        <v>6</v>
      </c>
      <c r="AC30" s="13" t="s">
        <v>119</v>
      </c>
      <c r="AD30" s="13" t="str">
        <f>CONCATENATE( C1,C31,CHAR(10), D1,D31,CHAR(10), E1,E31,CHAR(10), F1,F31,CHAR(10), G1,G31,CHAR(10), H1,H31,CHAR(10), I1,I31,CHAR(10), J1,J31,CHAR(10), K1,K31,CHAR(10), L1,L31,CHAR(10), M1,M31,CHAR(10), N1,N31,CHAR(10), O1,O31,CHAR(10), P1,P31,CHAR(10), Q1,Q31,CHAR(10), R1,R31,CHAR(10), S1,S31,CHAR(10), U1,U31,CHAR(10), V1,V31,CHAR(10), W1,W31,CHAR(10), X1,X31,CHAR(10), Y1,Y31,CHAR(10), Z1,Z31,CHAR(10), AA1,AA31,CHAR(10), AB1,AB31,CHAR(10), AC1,AC31,CHAR(10), )</f>
        <v xml:space="preserve">Каналы:4 моно
Канал EQ:3-полосный
MIC4
AUX выход:
Выходная мощность: 2х85 Вт (8 Ом)
Выходная мощность: 2х170 Вт (4 Ом)
Потребляемая мощность:
Группа баз:
Сопротивление:4 Ом 8 Ом 16 Ом
Частотный диапазон:20 Гц - 18ц
Эквалайзер общий:3х полосная эквализация
Моно дорожка: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Размеры:300х380х160 мм
Вес(кг): 11
Гарантийный срок: 12 месяцев
</v>
      </c>
      <c r="AE30" s="20">
        <v>17900</v>
      </c>
      <c r="AF30" s="140" t="s">
        <v>1827</v>
      </c>
      <c r="AG30" s="2" t="str">
        <f t="shared" si="0"/>
        <v xml:space="preserve">MCF AM-MINI 12 Микшерный пульт пассивный </v>
      </c>
      <c r="AH30" s="2" t="str">
        <f t="shared" si="1"/>
        <v xml:space="preserve">MCF AM-MINI 12 Микшерный пульт пассивный </v>
      </c>
      <c r="AI30" s="2" t="s">
        <v>1840</v>
      </c>
      <c r="AK30" s="2" t="s">
        <v>1837</v>
      </c>
      <c r="AL30" s="143" t="s">
        <v>1841</v>
      </c>
      <c r="AM30" s="143" t="s">
        <v>1842</v>
      </c>
      <c r="AN30" s="143" t="s">
        <v>1843</v>
      </c>
      <c r="AO30" s="143" t="s">
        <v>1844</v>
      </c>
      <c r="AP30" s="2" t="s">
        <v>1837</v>
      </c>
    </row>
    <row r="31" spans="1:42" ht="409.5" x14ac:dyDescent="0.25">
      <c r="A31" s="38">
        <v>30</v>
      </c>
      <c r="B31" s="14" t="s">
        <v>249</v>
      </c>
      <c r="C31" s="13" t="s">
        <v>193</v>
      </c>
      <c r="D31" s="13" t="s">
        <v>148</v>
      </c>
      <c r="E31" s="13">
        <v>4</v>
      </c>
      <c r="F31" s="5"/>
      <c r="G31" s="13" t="s">
        <v>194</v>
      </c>
      <c r="H31" s="13" t="s">
        <v>195</v>
      </c>
      <c r="I31" s="5"/>
      <c r="J31" s="5"/>
      <c r="K31" s="13" t="s">
        <v>93</v>
      </c>
      <c r="L31" s="13" t="s">
        <v>1988</v>
      </c>
      <c r="M31" s="13" t="s">
        <v>100</v>
      </c>
      <c r="N31" s="5"/>
      <c r="O31" s="5"/>
      <c r="P31" s="5"/>
      <c r="Q31" s="5"/>
      <c r="R31" s="13" t="s">
        <v>136</v>
      </c>
      <c r="S31" s="13" t="s">
        <v>136</v>
      </c>
      <c r="T31" s="5"/>
      <c r="U31" s="5"/>
      <c r="V31" s="5"/>
      <c r="W31" s="13" t="s">
        <v>109</v>
      </c>
      <c r="X31" s="13" t="s">
        <v>176</v>
      </c>
      <c r="Y31" s="13" t="s">
        <v>112</v>
      </c>
      <c r="Z31" s="13" t="s">
        <v>114</v>
      </c>
      <c r="AA31" s="13" t="s">
        <v>196</v>
      </c>
      <c r="AB31" s="13">
        <v>11</v>
      </c>
      <c r="AC31" s="13" t="s">
        <v>119</v>
      </c>
      <c r="AD31" s="13" t="str">
        <f>CONCATENATE( C1,C32,CHAR(10), D1,D32,CHAR(10), E1,E32,CHAR(10), F1,F32,CHAR(10), G1,G32,CHAR(10), H1,H32,CHAR(10), I1,I32,CHAR(10), J1,J32,CHAR(10), K1,K32,CHAR(10), L1,L32,CHAR(10), M1,M32,CHAR(10), N1,N32,CHAR(10), O1,O32,CHAR(10), P1,P32,CHAR(10), Q1,Q32,CHAR(10), R1,R32,CHAR(10), S1,S32,CHAR(10), U1,U32,CHAR(10), V1,V32,CHAR(10), W1,W32,CHAR(10), X1,X32,CHAR(10), Y1,Y32,CHAR(10), Z1,Z32,CHAR(10), AA1,AA32,CHAR(10), AB1,AB32,CHAR(10), AC1,AC32,CHAR(10), )</f>
        <v xml:space="preserve">Каналы:6 моно
Канал EQ:3-полосная эквализация
MIC6
AUX выход:
Выходная мощность: 2х85 Вт (8 Ом)
Выходная мощность: 2х170 Вт (4 Ом)
Потребляемая мощность:
Группа баз:
Сопротивление:4 Ом 8 Ом 16 Ом
Частотный диапазон:20 Гц - 18ц
Эквалайзер общий:3х полосная эквализация
Моно дорожка:
Стерео дорожки:
AUX шины
USB, звуковая карта:
Bluetooth:есть
USB:есть
фейдеррегулятор:
Аудио интерфейс:
Фантомное питание:+48 В
Эффекты: 16 &amp; 24 DSP
Отношение сигнал/шум:&gt;105 дБ
КНИ:&lt;0,01%
Размеры:330х380х160 мм
Вес(кг): 12
Гарантийный срок: 12 месяцев
</v>
      </c>
      <c r="AE31" s="20">
        <v>14900</v>
      </c>
      <c r="AF31" s="140" t="s">
        <v>1827</v>
      </c>
      <c r="AG31" s="2" t="str">
        <f t="shared" si="0"/>
        <v>MCF AM-MINI 4P Микшерный пульт активный</v>
      </c>
      <c r="AH31" s="2" t="str">
        <f t="shared" si="1"/>
        <v>MCF AM-MINI 4P Микшерный пульт активный</v>
      </c>
      <c r="AI31" s="2" t="s">
        <v>1840</v>
      </c>
      <c r="AK31" s="2" t="s">
        <v>1837</v>
      </c>
      <c r="AL31" s="143" t="s">
        <v>1841</v>
      </c>
      <c r="AM31" s="143" t="s">
        <v>1842</v>
      </c>
      <c r="AN31" s="143" t="s">
        <v>1843</v>
      </c>
      <c r="AO31" s="143" t="s">
        <v>1844</v>
      </c>
      <c r="AP31" s="2" t="s">
        <v>1837</v>
      </c>
    </row>
    <row r="32" spans="1:42" ht="409.5" x14ac:dyDescent="0.25">
      <c r="A32" s="38">
        <v>31</v>
      </c>
      <c r="B32" s="14" t="s">
        <v>250</v>
      </c>
      <c r="C32" s="13" t="s">
        <v>172</v>
      </c>
      <c r="D32" s="13" t="s">
        <v>197</v>
      </c>
      <c r="E32" s="13">
        <v>6</v>
      </c>
      <c r="F32" s="5"/>
      <c r="G32" s="13" t="s">
        <v>194</v>
      </c>
      <c r="H32" s="13" t="s">
        <v>195</v>
      </c>
      <c r="I32" s="5"/>
      <c r="J32" s="5"/>
      <c r="K32" s="13" t="s">
        <v>93</v>
      </c>
      <c r="L32" s="13" t="s">
        <v>1988</v>
      </c>
      <c r="M32" s="13" t="s">
        <v>100</v>
      </c>
      <c r="N32" s="5"/>
      <c r="O32" s="5"/>
      <c r="P32" s="5"/>
      <c r="Q32" s="5"/>
      <c r="R32" s="13" t="s">
        <v>136</v>
      </c>
      <c r="S32" s="13" t="s">
        <v>136</v>
      </c>
      <c r="T32" s="5"/>
      <c r="U32" s="5"/>
      <c r="V32" s="5"/>
      <c r="W32" s="13" t="s">
        <v>109</v>
      </c>
      <c r="X32" s="13" t="s">
        <v>198</v>
      </c>
      <c r="Y32" s="13" t="s">
        <v>112</v>
      </c>
      <c r="Z32" s="13" t="s">
        <v>114</v>
      </c>
      <c r="AA32" s="13" t="s">
        <v>199</v>
      </c>
      <c r="AB32" s="13">
        <v>12</v>
      </c>
      <c r="AC32" s="13" t="s">
        <v>119</v>
      </c>
      <c r="AD32" s="13" t="str">
        <f>CONCATENATE( C1,C33,CHAR(10), D1,D33,CHAR(10), E1,E33,CHAR(10), F1,F33,CHAR(10), G1,G33,CHAR(10), H1,H33,CHAR(10), I1,I33,CHAR(10), J1,J33,CHAR(10), K1,K33,CHAR(10), L1,L33,CHAR(10), M1,M33,CHAR(10), N1,N33,CHAR(10), O1,O33,CHAR(10), P1,P33,CHAR(10), Q1,Q33,CHAR(10), R1,R33,CHAR(10), S1,S33,CHAR(10), U1,U33,CHAR(10), V1,V33,CHAR(10), W1,W33,CHAR(10), X1,X33,CHAR(10), Y1,Y33,CHAR(10), Z1,Z33,CHAR(10), AA1,AA33,CHAR(10), AB1,AB33,CHAR(10), AC1,AC33,CHAR(10), )</f>
        <v xml:space="preserve">Каналы:8 моно
Канал EQ:3-полосный
MIC8
AUX выход:
Выходная мощность: 2х85 Вт (8 Ом)
Выходная мощность: 2х170 Вт (4 Ом)
Потребляемая мощность:
Группа баз:
Сопротивление:4 Ом 8 Ом 16 Ом
Частотный диапазон:20 Гц - 18ц
Эквалайзер общий:3х полосная эквализация
Моно дорожка:
Стерео дорожки:
AUX шины
USB, звуковая карта:
Bluetooth:есть
USB:есть
фейдеррегулятор:
Аудио интерфейс:
Фантомное питание:+48 В
Эффекты:16 &amp; 24 DSP
Отношение сигнал/шум:&gt;105 дБ
КНИ:&lt;0,01%
Размеры:360х380х160 мм
Вес(кг): 13
Гарантийный срок: 12 месяцев
</v>
      </c>
      <c r="AE32" s="20">
        <v>17900</v>
      </c>
      <c r="AF32" s="140" t="s">
        <v>1827</v>
      </c>
      <c r="AG32" s="2" t="str">
        <f t="shared" si="0"/>
        <v>MCF AM-MINI 6P Микшерный пульт активный</v>
      </c>
      <c r="AH32" s="2" t="str">
        <f t="shared" si="1"/>
        <v>MCF AM-MINI 6P Микшерный пульт активный</v>
      </c>
      <c r="AI32" s="2" t="s">
        <v>1840</v>
      </c>
      <c r="AK32" s="2" t="s">
        <v>1837</v>
      </c>
      <c r="AL32" s="143" t="s">
        <v>1841</v>
      </c>
      <c r="AM32" s="143" t="s">
        <v>1842</v>
      </c>
      <c r="AN32" s="143" t="s">
        <v>1843</v>
      </c>
      <c r="AO32" s="143" t="s">
        <v>1844</v>
      </c>
      <c r="AP32" s="2" t="s">
        <v>1837</v>
      </c>
    </row>
    <row r="33" spans="1:42" ht="409.5" x14ac:dyDescent="0.25">
      <c r="A33" s="38">
        <v>32</v>
      </c>
      <c r="B33" s="14" t="s">
        <v>251</v>
      </c>
      <c r="C33" s="13" t="s">
        <v>178</v>
      </c>
      <c r="D33" s="13" t="s">
        <v>148</v>
      </c>
      <c r="E33" s="13">
        <v>8</v>
      </c>
      <c r="F33" s="5"/>
      <c r="G33" s="13" t="s">
        <v>194</v>
      </c>
      <c r="H33" s="13" t="s">
        <v>195</v>
      </c>
      <c r="I33" s="5"/>
      <c r="J33" s="5"/>
      <c r="K33" s="13" t="s">
        <v>93</v>
      </c>
      <c r="L33" s="13" t="s">
        <v>1988</v>
      </c>
      <c r="M33" s="13" t="s">
        <v>100</v>
      </c>
      <c r="N33" s="5"/>
      <c r="O33" s="5"/>
      <c r="P33" s="5"/>
      <c r="Q33" s="5"/>
      <c r="R33" s="13" t="s">
        <v>136</v>
      </c>
      <c r="S33" s="13" t="s">
        <v>136</v>
      </c>
      <c r="T33" s="5"/>
      <c r="U33" s="5"/>
      <c r="V33" s="5"/>
      <c r="W33" s="13" t="s">
        <v>109</v>
      </c>
      <c r="X33" s="13" t="s">
        <v>176</v>
      </c>
      <c r="Y33" s="13" t="s">
        <v>112</v>
      </c>
      <c r="Z33" s="13" t="s">
        <v>114</v>
      </c>
      <c r="AA33" s="13" t="s">
        <v>200</v>
      </c>
      <c r="AB33" s="13">
        <v>13</v>
      </c>
      <c r="AC33" s="13" t="s">
        <v>119</v>
      </c>
      <c r="AD33" s="13" t="str">
        <f>CONCATENATE( C1,C34,CHAR(10), D1,D34,CHAR(10), E1,E34,CHAR(10), F1,F34,CHAR(10), G1,G34,CHAR(10), H1,H34,CHAR(10), I1,I34,CHAR(10), J1,J34,CHAR(10), K1,K34,CHAR(10), L1,L34,CHAR(10), M1,M34,CHAR(10), N1,N34,CHAR(10), O1,O34,CHAR(10), P1,P34,CHAR(10), Q1,Q34,CHAR(10), R1,R34,CHAR(10), S1,S34,CHAR(10), U1,U34,CHAR(10), V1,V34,CHAR(10), W1,W34,CHAR(10), X1,X34,CHAR(10), Y1,Y34,CHAR(10), Z1,Z34,CHAR(10), AA1,AA34,CHAR(10), AB1,AB34,CHAR(10), AC1,AC34,CHAR(10), )</f>
        <v xml:space="preserve">Каналы:16 моно
Канал EQ:4-полосный
MIC16
AUX выход:4
Выходная мощность: 
Выходная мощность: 
Потребляемая мощность:50 Вт
Группа баз:
Сопротивление:
Частотный диапазон:20 Гц - 18ц
Эквалайзер общий:9-ти полосный эквалайзер
Моно дорожка:4х полосная эквализация
Стерео дорожки:
AUX шины3 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Размеры:720х335х150 мм
Вес(кг): 14,6
Гарантийный срок: 12 месяцев
</v>
      </c>
      <c r="AE33" s="20">
        <v>19900</v>
      </c>
      <c r="AF33" s="140" t="s">
        <v>1827</v>
      </c>
      <c r="AG33" s="2" t="str">
        <f t="shared" si="0"/>
        <v>MCF AM-MINI 8P Микшерный пульт активный</v>
      </c>
      <c r="AH33" s="2" t="str">
        <f t="shared" si="1"/>
        <v>MCF AM-MINI 8P Микшерный пульт активный</v>
      </c>
      <c r="AI33" s="2" t="s">
        <v>1840</v>
      </c>
      <c r="AK33" s="2" t="s">
        <v>1837</v>
      </c>
      <c r="AL33" s="143" t="s">
        <v>1841</v>
      </c>
      <c r="AM33" s="143" t="s">
        <v>1842</v>
      </c>
      <c r="AN33" s="143" t="s">
        <v>1843</v>
      </c>
      <c r="AO33" s="143" t="s">
        <v>1844</v>
      </c>
      <c r="AP33" s="2" t="s">
        <v>1837</v>
      </c>
    </row>
    <row r="34" spans="1:42" ht="409.5" x14ac:dyDescent="0.25">
      <c r="A34" s="38">
        <v>33</v>
      </c>
      <c r="B34" s="14" t="s">
        <v>1856</v>
      </c>
      <c r="C34" s="13" t="s">
        <v>185</v>
      </c>
      <c r="D34" s="13" t="s">
        <v>201</v>
      </c>
      <c r="E34" s="13">
        <v>16</v>
      </c>
      <c r="F34" s="13">
        <v>4</v>
      </c>
      <c r="G34" s="5"/>
      <c r="H34" s="5"/>
      <c r="I34" s="13" t="s">
        <v>202</v>
      </c>
      <c r="J34" s="5"/>
      <c r="K34" s="5"/>
      <c r="L34" s="13" t="s">
        <v>1988</v>
      </c>
      <c r="M34" s="13" t="s">
        <v>143</v>
      </c>
      <c r="N34" s="13" t="s">
        <v>98</v>
      </c>
      <c r="O34" s="5"/>
      <c r="P34" s="13" t="s">
        <v>203</v>
      </c>
      <c r="Q34" s="5"/>
      <c r="R34" s="13" t="s">
        <v>136</v>
      </c>
      <c r="S34" s="13" t="s">
        <v>136</v>
      </c>
      <c r="T34" s="5"/>
      <c r="U34" s="5"/>
      <c r="V34" s="5"/>
      <c r="W34" s="13" t="s">
        <v>109</v>
      </c>
      <c r="X34" s="13" t="s">
        <v>151</v>
      </c>
      <c r="Y34" s="13" t="s">
        <v>112</v>
      </c>
      <c r="Z34" s="13" t="s">
        <v>114</v>
      </c>
      <c r="AA34" s="13" t="s">
        <v>204</v>
      </c>
      <c r="AB34" s="13" t="s">
        <v>1989</v>
      </c>
      <c r="AC34" s="13" t="s">
        <v>119</v>
      </c>
      <c r="AD34" s="13" t="str">
        <f>CONCATENATE( C1,C35,CHAR(10), D1,D35,CHAR(10), E1,E35,CHAR(10), F1,F35,CHAR(10), G1,G35,CHAR(10), H1,H35,CHAR(10), I1,I35,CHAR(10), J1,J35,CHAR(10), K1,K35,CHAR(10), L1,L35,CHAR(10), M1,M35,CHAR(10), N1,N35,CHAR(10), O1,O35,CHAR(10), P1,P35,CHAR(10), Q1,Q35,CHAR(10), R1,R35,CHAR(10), S1,S35,CHAR(10), U1,U35,CHAR(10), V1,V35,CHAR(10), W1,W35,CHAR(10), X1,X35,CHAR(10), Y1,Y35,CHAR(10), Z1,Z35,CHAR(10), AA1,AA35,CHAR(10), AB1,AB35,CHAR(10), AC1,AC35,CHAR(10), )</f>
        <v xml:space="preserve">Каналы:24 моно
Канал EQ:4-полосный
MIC24
AUX выход:4
Выходная мощность: 
Выходная мощность: 
Потребляемая мощность:75 Вт
Группа баз:
Сопротивление:
Частотный диапазон:20 Гц - 18ц
Эквалайзер общий:9-ти полосный эквалайзер
Моно дорожка:4х полосная эквализация
Стерео дорожки:
AUX шины3 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Размеры:860х335х150 мм
Вес(кг): 15,8
Гарантийный срок: 12 месяцев
</v>
      </c>
      <c r="AE34" s="12" t="s">
        <v>1848</v>
      </c>
      <c r="AF34" s="140" t="s">
        <v>1827</v>
      </c>
      <c r="AG34" s="2" t="str">
        <f t="shared" si="0"/>
        <v>MCF AM-RS16 Микшерный пульт пассивный</v>
      </c>
      <c r="AH34" s="2" t="str">
        <f t="shared" si="1"/>
        <v>MCF AM-RS16 Микшерный пульт пассивный</v>
      </c>
      <c r="AI34" s="2" t="s">
        <v>1840</v>
      </c>
      <c r="AK34" s="2" t="s">
        <v>1837</v>
      </c>
      <c r="AL34" s="143" t="s">
        <v>1841</v>
      </c>
      <c r="AM34" s="143" t="s">
        <v>1842</v>
      </c>
      <c r="AN34" s="143" t="s">
        <v>1843</v>
      </c>
      <c r="AO34" s="143" t="s">
        <v>1844</v>
      </c>
      <c r="AP34" s="2" t="s">
        <v>1837</v>
      </c>
    </row>
    <row r="35" spans="1:42" ht="409.5" x14ac:dyDescent="0.25">
      <c r="A35" s="38">
        <v>34</v>
      </c>
      <c r="B35" s="14" t="s">
        <v>255</v>
      </c>
      <c r="C35" s="13" t="s">
        <v>205</v>
      </c>
      <c r="D35" s="13" t="s">
        <v>201</v>
      </c>
      <c r="E35" s="13">
        <v>24</v>
      </c>
      <c r="F35" s="13">
        <v>4</v>
      </c>
      <c r="G35" s="5"/>
      <c r="H35" s="5"/>
      <c r="I35" s="13" t="s">
        <v>206</v>
      </c>
      <c r="J35" s="5"/>
      <c r="K35" s="5"/>
      <c r="L35" s="13" t="s">
        <v>1988</v>
      </c>
      <c r="M35" s="13" t="s">
        <v>143</v>
      </c>
      <c r="N35" s="13" t="s">
        <v>98</v>
      </c>
      <c r="O35" s="5"/>
      <c r="P35" s="13" t="s">
        <v>203</v>
      </c>
      <c r="Q35" s="5"/>
      <c r="R35" s="13" t="s">
        <v>136</v>
      </c>
      <c r="S35" s="13" t="s">
        <v>136</v>
      </c>
      <c r="T35" s="5"/>
      <c r="U35" s="5"/>
      <c r="V35" s="5"/>
      <c r="W35" s="13" t="s">
        <v>109</v>
      </c>
      <c r="X35" s="13" t="s">
        <v>151</v>
      </c>
      <c r="Y35" s="13" t="s">
        <v>112</v>
      </c>
      <c r="Z35" s="13" t="s">
        <v>114</v>
      </c>
      <c r="AA35" s="13" t="s">
        <v>207</v>
      </c>
      <c r="AB35" s="13" t="s">
        <v>1990</v>
      </c>
      <c r="AC35" s="13" t="s">
        <v>119</v>
      </c>
      <c r="AD35" s="13" t="str">
        <f>CONCATENATE( C1,C36,CHAR(10), D1,D36,CHAR(10), E1,E36,CHAR(10), F1,F36,CHAR(10), G1,G36,CHAR(10), H1,H36,CHAR(10), I1,I36,CHAR(10), J1,J36,CHAR(10), K1,K36,CHAR(10), L1,L36,CHAR(10), M1,M36,CHAR(10), N1,N36,CHAR(10), O1,O36,CHAR(10), P1,P36,CHAR(10), Q1,Q36,CHAR(10), R1,R36,CHAR(10), S1,S36,CHAR(10), U1,U36,CHAR(10), V1,V36,CHAR(10), W1,W36,CHAR(10), X1,X36,CHAR(10), Y1,Y36,CHAR(10), Z1,Z36,CHAR(10), AA1,AA36,CHAR(10), AB1,AB36,CHAR(10), AC1,AC36,CHAR(10), )</f>
        <v xml:space="preserve">Каналы:32 моно
Канал EQ:4-полосный
MIC32
AUX выход:4
Выходная мощность: 
Выходная мощность: 
Потребляемая мощность:100 Вт
Группа баз:
Сопротивление:
Частотный диапазон:20 Гц - 18ц
Эквалайзер общий:9-ти полосный эквалайзер
Моно дорожка:4х полосная эквализация
Стерео дорожки:
AUX шины3 AUX шины
USB, звуковая карта:
Bluetooth:есть
USB:есть
фейдеррегулятор:
Аудио интерфейс:
Фантомное питание:+48 В
Эффекты:2*99 DSP
Отношение сигнал/шум:&gt;105 дБ
КНИ:&lt;0,01%
Размеры:940х335х150 мм
Вес(кг): 17,0
Гарантийный срок: 12 месяцев
</v>
      </c>
      <c r="AE35" s="12" t="s">
        <v>1849</v>
      </c>
      <c r="AF35" s="140" t="s">
        <v>1827</v>
      </c>
      <c r="AG35" s="2" t="str">
        <f t="shared" si="0"/>
        <v>MCF AM-RS 24 Микшерный пульт пассивный</v>
      </c>
      <c r="AH35" s="2" t="str">
        <f t="shared" si="1"/>
        <v>MCF AM-RS 24 Микшерный пульт пассивный</v>
      </c>
      <c r="AI35" s="2" t="s">
        <v>1840</v>
      </c>
      <c r="AK35" s="2" t="s">
        <v>1837</v>
      </c>
      <c r="AL35" s="143" t="s">
        <v>1841</v>
      </c>
      <c r="AM35" s="143" t="s">
        <v>1842</v>
      </c>
      <c r="AN35" s="143" t="s">
        <v>1843</v>
      </c>
      <c r="AO35" s="143" t="s">
        <v>1844</v>
      </c>
      <c r="AP35" s="2" t="s">
        <v>1837</v>
      </c>
    </row>
    <row r="36" spans="1:42" ht="409.5" x14ac:dyDescent="0.25">
      <c r="A36" s="38">
        <v>35</v>
      </c>
      <c r="B36" s="14" t="s">
        <v>256</v>
      </c>
      <c r="C36" s="13" t="s">
        <v>208</v>
      </c>
      <c r="D36" s="13" t="s">
        <v>201</v>
      </c>
      <c r="E36" s="13">
        <v>32</v>
      </c>
      <c r="F36" s="13">
        <v>4</v>
      </c>
      <c r="G36" s="5"/>
      <c r="H36" s="5"/>
      <c r="I36" s="13" t="s">
        <v>209</v>
      </c>
      <c r="J36" s="5"/>
      <c r="K36" s="5"/>
      <c r="L36" s="13" t="s">
        <v>1988</v>
      </c>
      <c r="M36" s="13" t="s">
        <v>143</v>
      </c>
      <c r="N36" s="13" t="s">
        <v>98</v>
      </c>
      <c r="O36" s="5"/>
      <c r="P36" s="13" t="s">
        <v>203</v>
      </c>
      <c r="Q36" s="5"/>
      <c r="R36" s="13" t="s">
        <v>136</v>
      </c>
      <c r="S36" s="13" t="s">
        <v>136</v>
      </c>
      <c r="T36" s="5"/>
      <c r="U36" s="5"/>
      <c r="V36" s="5"/>
      <c r="W36" s="13" t="s">
        <v>109</v>
      </c>
      <c r="X36" s="13" t="s">
        <v>151</v>
      </c>
      <c r="Y36" s="13" t="s">
        <v>112</v>
      </c>
      <c r="Z36" s="13" t="s">
        <v>114</v>
      </c>
      <c r="AA36" s="13" t="s">
        <v>210</v>
      </c>
      <c r="AB36" s="13" t="s">
        <v>1991</v>
      </c>
      <c r="AC36" s="13" t="s">
        <v>119</v>
      </c>
      <c r="AD36" s="13" t="str">
        <f>CONCATENATE( C1,C37,CHAR(10), D1,D37,CHAR(10), E1,E37,CHAR(10), F1,F37,CHAR(10), G1,G37,CHAR(10), H1,H37,CHAR(10), I1,I37,CHAR(10), J1,J37,CHAR(10), K1,K37,CHAR(10), L1,L37,CHAR(10), M1,M37,CHAR(10), N1,N37,CHAR(10), O1,O37,CHAR(10), P1,P37,CHAR(10), Q1,Q37,CHAR(10), R1,R37,CHAR(10), S1,S37,CHAR(10), U1,U37,CHAR(10), V1,V37,CHAR(10), W1,W37,CHAR(10), X1,X37,CHAR(10), Y1,Y37,CHAR(10), Z1,Z37,CHAR(10), AA1,AA37,CHAR(10), AB1,AB37,CHAR(10), AC1,AC37,CHAR(10), )</f>
        <v xml:space="preserve">Каналы:6 моно
Канал EQ:3-полосный
MIC6
AUX выход:1
Выходная мощность: 
Выходная мощность: 
Потребляемая мощность:36 Вт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Эффекты:16 &amp; 24 DSP
Отношение сигнал/шум:&gt;105 дБ
КНИ:&lt;0,01%
Размеры:330х390х101 мм
Вес(кг): 4,8
Гарантийный срок: 12 месяцев
</v>
      </c>
      <c r="AE36" s="12" t="s">
        <v>1850</v>
      </c>
      <c r="AF36" s="140" t="s">
        <v>1827</v>
      </c>
      <c r="AG36" s="2" t="str">
        <f t="shared" si="0"/>
        <v>MCF AM-RS 32 Микшерный пульт пассивный</v>
      </c>
      <c r="AH36" s="2" t="str">
        <f t="shared" si="1"/>
        <v>MCF AM-RS 32 Микшерный пульт пассивный</v>
      </c>
      <c r="AI36" s="2" t="s">
        <v>1840</v>
      </c>
      <c r="AK36" s="2" t="s">
        <v>1837</v>
      </c>
      <c r="AL36" s="143" t="s">
        <v>1841</v>
      </c>
      <c r="AM36" s="143" t="s">
        <v>1842</v>
      </c>
      <c r="AN36" s="143" t="s">
        <v>1843</v>
      </c>
      <c r="AO36" s="143" t="s">
        <v>1844</v>
      </c>
      <c r="AP36" s="2" t="s">
        <v>1837</v>
      </c>
    </row>
    <row r="37" spans="1:42" ht="409.5" x14ac:dyDescent="0.25">
      <c r="A37" s="38">
        <v>36</v>
      </c>
      <c r="B37" s="14" t="s">
        <v>257</v>
      </c>
      <c r="C37" s="13" t="s">
        <v>172</v>
      </c>
      <c r="D37" s="13" t="s">
        <v>148</v>
      </c>
      <c r="E37" s="13">
        <v>6</v>
      </c>
      <c r="F37" s="13">
        <v>1</v>
      </c>
      <c r="G37" s="5"/>
      <c r="H37" s="5"/>
      <c r="I37" s="13" t="s">
        <v>211</v>
      </c>
      <c r="J37" s="5"/>
      <c r="K37" s="5"/>
      <c r="L37" s="13" t="s">
        <v>1988</v>
      </c>
      <c r="M37" s="13" t="s">
        <v>175</v>
      </c>
      <c r="N37" s="5"/>
      <c r="O37" s="5"/>
      <c r="P37" s="13" t="s">
        <v>203</v>
      </c>
      <c r="Q37" s="5"/>
      <c r="R37" s="5"/>
      <c r="S37" s="13" t="s">
        <v>136</v>
      </c>
      <c r="T37" s="5"/>
      <c r="U37" s="5"/>
      <c r="V37" s="5"/>
      <c r="W37" s="13" t="s">
        <v>109</v>
      </c>
      <c r="X37" s="13" t="s">
        <v>176</v>
      </c>
      <c r="Y37" s="13" t="s">
        <v>112</v>
      </c>
      <c r="Z37" s="13" t="s">
        <v>114</v>
      </c>
      <c r="AA37" s="13" t="s">
        <v>212</v>
      </c>
      <c r="AB37" s="13" t="s">
        <v>1992</v>
      </c>
      <c r="AC37" s="13" t="s">
        <v>119</v>
      </c>
      <c r="AD37" s="13" t="str">
        <f>CONCATENATE( C1,C38,CHAR(10), D1,D38,CHAR(10), E1,E38,CHAR(10), F1,F38,CHAR(10), G1,G38,CHAR(10), H1,H38,CHAR(10), I1,I38,CHAR(10), J1,J38,CHAR(10), K1,K38,CHAR(10), L1,L38,CHAR(10), M1,M38,CHAR(10), N1,N38,CHAR(10), O1,O38,CHAR(10), P1,P38,CHAR(10), Q1,Q38,CHAR(10), R1,R38,CHAR(10), S1,S38,CHAR(10), U1,U38,CHAR(10), V1,V38,CHAR(10), W1,W38,CHAR(10), X1,X38,CHAR(10), Y1,Y38,CHAR(10), Z1,Z38,CHAR(10), AA1,AA38,CHAR(10), AB1,AB38,CHAR(10), AC1,AC38,CHAR(10), )</f>
        <v xml:space="preserve">Каналы:8 моно
Канал EQ:3-полосный
MIC8
AUX выход:1
Выходная мощность: 
Выходная мощность: 
Потребляемая мощность:36 Вт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Эффекты:16 &amp; 24 DSP
Отношение сигнал/шум:&gt;105 дБ
КНИ:&lt;0,01%
Размеры:387х390х101 мм
Вес(кг): 5,6
Гарантийный срок: 12 месяцев
</v>
      </c>
      <c r="AE37" s="20">
        <v>14900</v>
      </c>
      <c r="AF37" s="140" t="s">
        <v>1827</v>
      </c>
      <c r="AG37" s="2" t="str">
        <f t="shared" si="0"/>
        <v>MCF PRO-FX 6 Микшерный пульт пассивный</v>
      </c>
      <c r="AH37" s="2" t="str">
        <f t="shared" si="1"/>
        <v>MCF PRO-FX 6 Микшерный пульт пассивный</v>
      </c>
      <c r="AI37" s="2" t="s">
        <v>1840</v>
      </c>
      <c r="AK37" s="2" t="s">
        <v>1837</v>
      </c>
      <c r="AL37" s="143" t="s">
        <v>1841</v>
      </c>
      <c r="AM37" s="143" t="s">
        <v>1842</v>
      </c>
      <c r="AN37" s="143" t="s">
        <v>1843</v>
      </c>
      <c r="AO37" s="143" t="s">
        <v>1844</v>
      </c>
      <c r="AP37" s="2" t="s">
        <v>1837</v>
      </c>
    </row>
    <row r="38" spans="1:42" ht="409.5" x14ac:dyDescent="0.25">
      <c r="A38" s="38">
        <v>37</v>
      </c>
      <c r="B38" s="14" t="s">
        <v>258</v>
      </c>
      <c r="C38" s="13" t="s">
        <v>178</v>
      </c>
      <c r="D38" s="13" t="s">
        <v>148</v>
      </c>
      <c r="E38" s="13">
        <v>8</v>
      </c>
      <c r="F38" s="13">
        <v>1</v>
      </c>
      <c r="G38" s="5"/>
      <c r="H38" s="5"/>
      <c r="I38" s="13" t="s">
        <v>211</v>
      </c>
      <c r="J38" s="5"/>
      <c r="K38" s="5"/>
      <c r="L38" s="13" t="s">
        <v>1988</v>
      </c>
      <c r="M38" s="13" t="s">
        <v>175</v>
      </c>
      <c r="N38" s="5"/>
      <c r="O38" s="5"/>
      <c r="P38" s="13" t="s">
        <v>203</v>
      </c>
      <c r="Q38" s="5"/>
      <c r="R38" s="5"/>
      <c r="S38" s="13" t="s">
        <v>136</v>
      </c>
      <c r="T38" s="5"/>
      <c r="U38" s="5"/>
      <c r="V38" s="5"/>
      <c r="W38" s="13" t="s">
        <v>109</v>
      </c>
      <c r="X38" s="13" t="s">
        <v>176</v>
      </c>
      <c r="Y38" s="13" t="s">
        <v>112</v>
      </c>
      <c r="Z38" s="13" t="s">
        <v>114</v>
      </c>
      <c r="AA38" s="13" t="s">
        <v>214</v>
      </c>
      <c r="AB38" s="13" t="s">
        <v>1993</v>
      </c>
      <c r="AC38" s="13" t="s">
        <v>119</v>
      </c>
      <c r="AD38" s="13" t="str">
        <f>CONCATENATE( C1,C39,CHAR(10), D1,D39,CHAR(10), E1,E39,CHAR(10), F1,F39,CHAR(10), G1,G39,CHAR(10), H1,H39,CHAR(10), I1,I39,CHAR(10), J1,J39,CHAR(10), K1,K39,CHAR(10), L1,L39,CHAR(10), M1,M39,CHAR(10), N1,N39,CHAR(10), O1,O39,CHAR(10), P1,P39,CHAR(10), Q1,Q39,CHAR(10), R1,R39,CHAR(10), S1,S39,CHAR(10), U1,U39,CHAR(10), V1,V39,CHAR(10), W1,W39,CHAR(10), X1,X39,CHAR(10), Y1,Y39,CHAR(10), Z1,Z39,CHAR(10), AA1,AA39,CHAR(10), AB1,AB39,CHAR(10), AC1,AC39,CHAR(10), )</f>
        <v xml:space="preserve">Каналы:12 моно
Канал EQ:3-полосный
MIC12
AUX выход:1
Выходная мощность: 
Выходная мощность: 
Потребляемая мощность:36 Вт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Эффекты:16 &amp; 24 DSP
Отношение сигнал/шум:&gt;105 дБ
КНИ:&lt;0,01%
Размеры:495х390х101 мм
Вес(кг): 6,3
Гарантийный срок: 12 месяцев
</v>
      </c>
      <c r="AE38" s="20">
        <v>17900</v>
      </c>
      <c r="AF38" s="140" t="s">
        <v>1827</v>
      </c>
      <c r="AG38" s="2" t="str">
        <f t="shared" si="0"/>
        <v>MCF PRO-FX 8 Микшерный пульт пассивный</v>
      </c>
      <c r="AH38" s="2" t="str">
        <f t="shared" si="1"/>
        <v>MCF PRO-FX 8 Микшерный пульт пассивный</v>
      </c>
      <c r="AI38" s="2" t="s">
        <v>1840</v>
      </c>
      <c r="AK38" s="2" t="s">
        <v>1837</v>
      </c>
      <c r="AL38" s="143" t="s">
        <v>1841</v>
      </c>
      <c r="AM38" s="143" t="s">
        <v>1842</v>
      </c>
      <c r="AN38" s="143" t="s">
        <v>1843</v>
      </c>
      <c r="AO38" s="143" t="s">
        <v>1844</v>
      </c>
      <c r="AP38" s="2" t="s">
        <v>1837</v>
      </c>
    </row>
    <row r="39" spans="1:42" ht="409.5" x14ac:dyDescent="0.25">
      <c r="A39" s="38">
        <v>38</v>
      </c>
      <c r="B39" s="14" t="s">
        <v>259</v>
      </c>
      <c r="C39" s="13" t="s">
        <v>180</v>
      </c>
      <c r="D39" s="13" t="s">
        <v>148</v>
      </c>
      <c r="E39" s="13">
        <v>12</v>
      </c>
      <c r="F39" s="13">
        <v>1</v>
      </c>
      <c r="G39" s="5"/>
      <c r="H39" s="5"/>
      <c r="I39" s="13" t="s">
        <v>211</v>
      </c>
      <c r="J39" s="5"/>
      <c r="K39" s="5"/>
      <c r="L39" s="13" t="s">
        <v>1988</v>
      </c>
      <c r="M39" s="13" t="s">
        <v>175</v>
      </c>
      <c r="N39" s="5"/>
      <c r="O39" s="5"/>
      <c r="P39" s="13" t="s">
        <v>203</v>
      </c>
      <c r="Q39" s="5"/>
      <c r="R39" s="5"/>
      <c r="S39" s="13" t="s">
        <v>136</v>
      </c>
      <c r="T39" s="5"/>
      <c r="U39" s="5"/>
      <c r="V39" s="5"/>
      <c r="W39" s="13" t="s">
        <v>109</v>
      </c>
      <c r="X39" s="13" t="s">
        <v>176</v>
      </c>
      <c r="Y39" s="13" t="s">
        <v>112</v>
      </c>
      <c r="Z39" s="13" t="s">
        <v>114</v>
      </c>
      <c r="AA39" s="13" t="s">
        <v>215</v>
      </c>
      <c r="AB39" s="13" t="s">
        <v>1994</v>
      </c>
      <c r="AC39" s="13" t="s">
        <v>119</v>
      </c>
      <c r="AD39" s="13" t="str">
        <f>CONCATENATE( C1,C40,CHAR(10), D1,D40,CHAR(10), E1,E40,CHAR(10), F1,F40,CHAR(10), G1,G40,CHAR(10), H1,H40,CHAR(10), I1,I40,CHAR(10), J1,J40,CHAR(10), K1,K40,CHAR(10), L1,L40,CHAR(10), M1,M40,CHAR(10), N1,N40,CHAR(10), O1,O40,CHAR(10), P1,P40,CHAR(10), Q1,Q40,CHAR(10), R1,R40,CHAR(10), S1,S40,CHAR(10), U1,U40,CHAR(10), V1,V40,CHAR(10), W1,W40,CHAR(10), X1,X40,CHAR(10), Y1,Y40,CHAR(10), Z1,Z40,CHAR(10), AA1,AA40,CHAR(10), AB1,AB40,CHAR(10), AC1,AC40,CHAR(10), )</f>
        <v xml:space="preserve">Каналы:16 моно
Канал EQ:3-полосный
MIC16
AUX выход:1
Выходная мощность: 
Выходная мощность: 
Потребляемая мощность:36 Вт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 16 &amp; 24 DSP
Отношение сигнал/шум:&gt;105 дБ
КНИ:&lt;0,01%
Размеры:613х390х101 мм
Вес(кг): 8,0
Гарантийный срок: 12 месяцев
</v>
      </c>
      <c r="AE39" s="12" t="s">
        <v>1851</v>
      </c>
      <c r="AF39" s="140" t="s">
        <v>1827</v>
      </c>
      <c r="AG39" s="2" t="str">
        <f t="shared" si="0"/>
        <v>MCF PRO-FX 12 Микшерный пульт пассивный</v>
      </c>
      <c r="AH39" s="2" t="str">
        <f t="shared" si="1"/>
        <v>MCF PRO-FX 12 Микшерный пульт пассивный</v>
      </c>
      <c r="AI39" s="2" t="s">
        <v>1840</v>
      </c>
      <c r="AK39" s="2" t="s">
        <v>1837</v>
      </c>
      <c r="AL39" s="143" t="s">
        <v>1841</v>
      </c>
      <c r="AM39" s="143" t="s">
        <v>1842</v>
      </c>
      <c r="AN39" s="143" t="s">
        <v>1843</v>
      </c>
      <c r="AO39" s="143" t="s">
        <v>1844</v>
      </c>
      <c r="AP39" s="2" t="s">
        <v>1837</v>
      </c>
    </row>
    <row r="40" spans="1:42" ht="409.5" x14ac:dyDescent="0.25">
      <c r="A40" s="38">
        <v>39</v>
      </c>
      <c r="B40" s="14" t="s">
        <v>1855</v>
      </c>
      <c r="C40" s="13" t="s">
        <v>185</v>
      </c>
      <c r="D40" s="13" t="s">
        <v>148</v>
      </c>
      <c r="E40" s="13">
        <v>16</v>
      </c>
      <c r="F40" s="13">
        <v>1</v>
      </c>
      <c r="G40" s="5"/>
      <c r="H40" s="5"/>
      <c r="I40" s="13" t="s">
        <v>211</v>
      </c>
      <c r="J40" s="5"/>
      <c r="K40" s="5"/>
      <c r="L40" s="13" t="s">
        <v>1988</v>
      </c>
      <c r="M40" s="13" t="s">
        <v>175</v>
      </c>
      <c r="N40" s="5"/>
      <c r="O40" s="5"/>
      <c r="P40" s="13" t="s">
        <v>203</v>
      </c>
      <c r="Q40" s="5"/>
      <c r="R40" s="5"/>
      <c r="S40" s="13" t="s">
        <v>136</v>
      </c>
      <c r="T40" s="5"/>
      <c r="U40" s="5"/>
      <c r="V40" s="5"/>
      <c r="W40" s="13" t="s">
        <v>109</v>
      </c>
      <c r="X40" s="13" t="s">
        <v>198</v>
      </c>
      <c r="Y40" s="13" t="s">
        <v>112</v>
      </c>
      <c r="Z40" s="13" t="s">
        <v>114</v>
      </c>
      <c r="AA40" s="13" t="s">
        <v>216</v>
      </c>
      <c r="AB40" s="13" t="s">
        <v>1995</v>
      </c>
      <c r="AC40" s="13" t="s">
        <v>119</v>
      </c>
      <c r="AD40" s="13" t="str">
        <f>CONCATENATE( C1,C41,CHAR(10), D1,D41,CHAR(10), E1,E41,CHAR(10), F1,F41,CHAR(10), G1,G41,CHAR(10), H1,H41,CHAR(10), I1,I41,CHAR(10), J1,J41,CHAR(10), K1,K41,CHAR(10), L1,L41,CHAR(10), M1,M41,CHAR(10), N1,N41,CHAR(10), O1,O41,CHAR(10), P1,P41,CHAR(10), Q1,Q41,CHAR(10), R1,R41,CHAR(10), S1,S41,CHAR(10), U1,U41,CHAR(10), V1,V41,CHAR(10), W1,W41,CHAR(10), X1,X41,CHAR(10), Y1,Y41,CHAR(10), Z1,Z41,CHAR(10), AA1,AA41,CHAR(10), AB1,AB41,CHAR(10), AC1,AC41,CHAR(10), )</f>
        <v xml:space="preserve">Каналы:6 моно
Канал EQ:3-полосный
MIC6
AUX выход:1
Выходная мощность: 2х180 Вт (8 Ом) / 2х250 Вт (4 Ом) 
Выходная мощность: 
Потребляемая мощность: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Эффекты:16 &amp; 24 DSP
Отношение сигнал/шум:&gt;105 дБ
КНИ:&lt;0,01%
Размеры:497х195х150 мм
Вес(кг): 13,9
Гарантийный срок: 12 месяцев
</v>
      </c>
      <c r="AE40" s="20">
        <v>24900</v>
      </c>
      <c r="AF40" s="140" t="s">
        <v>1827</v>
      </c>
      <c r="AG40" s="2" t="str">
        <f t="shared" si="0"/>
        <v>MCF PRO-FX16 Микшерный пульт пассивный</v>
      </c>
      <c r="AH40" s="2" t="str">
        <f t="shared" si="1"/>
        <v>MCF PRO-FX16 Микшерный пульт пассивный</v>
      </c>
      <c r="AI40" s="2" t="s">
        <v>1840</v>
      </c>
      <c r="AK40" s="2" t="s">
        <v>1837</v>
      </c>
      <c r="AL40" s="143" t="s">
        <v>1841</v>
      </c>
      <c r="AM40" s="143" t="s">
        <v>1842</v>
      </c>
      <c r="AN40" s="143" t="s">
        <v>1843</v>
      </c>
      <c r="AO40" s="143" t="s">
        <v>1844</v>
      </c>
      <c r="AP40" s="2" t="s">
        <v>1837</v>
      </c>
    </row>
    <row r="41" spans="1:42" ht="409.5" x14ac:dyDescent="0.25">
      <c r="A41" s="38">
        <v>40</v>
      </c>
      <c r="B41" s="14" t="s">
        <v>1854</v>
      </c>
      <c r="C41" s="13" t="s">
        <v>172</v>
      </c>
      <c r="D41" s="13" t="s">
        <v>148</v>
      </c>
      <c r="E41" s="13">
        <v>6</v>
      </c>
      <c r="F41" s="13">
        <v>1</v>
      </c>
      <c r="G41" s="13" t="s">
        <v>217</v>
      </c>
      <c r="H41" s="5"/>
      <c r="I41" s="5"/>
      <c r="J41" s="5"/>
      <c r="K41" s="5"/>
      <c r="L41" s="13" t="s">
        <v>1988</v>
      </c>
      <c r="M41" s="13" t="s">
        <v>175</v>
      </c>
      <c r="N41" s="5"/>
      <c r="O41" s="5"/>
      <c r="P41" s="13" t="s">
        <v>203</v>
      </c>
      <c r="Q41" s="5"/>
      <c r="R41" s="5"/>
      <c r="S41" s="13" t="s">
        <v>136</v>
      </c>
      <c r="V41" s="5"/>
      <c r="W41" s="13" t="s">
        <v>109</v>
      </c>
      <c r="X41" s="13" t="s">
        <v>176</v>
      </c>
      <c r="Y41" s="13" t="s">
        <v>112</v>
      </c>
      <c r="Z41" s="13" t="s">
        <v>114</v>
      </c>
      <c r="AA41" s="13" t="s">
        <v>218</v>
      </c>
      <c r="AB41" s="13" t="s">
        <v>1996</v>
      </c>
      <c r="AC41" s="13" t="s">
        <v>119</v>
      </c>
      <c r="AD41" s="13" t="str">
        <f>CONCATENATE( C1,C42,CHAR(10), D1,D42,CHAR(10), E1,E42,CHAR(10), F1,F42,CHAR(10), G1,G42,CHAR(10), H1,H42,CHAR(10), I1,I42,CHAR(10), J1,J42,CHAR(10), K1,K42,CHAR(10), L1,L42,CHAR(10), M1,M42,CHAR(10), N1,N42,CHAR(10), O1,O42,CHAR(10), P1,P42,CHAR(10), Q1,Q42,CHAR(10), R1,R42,CHAR(10), S1,S42,CHAR(10), U1,U42,CHAR(10), V1,V42,CHAR(10), W1,W42,CHAR(10), X1,X42,CHAR(10), Y1,Y42,CHAR(10), Z1,Z42,CHAR(10), AA1,AA42,CHAR(10), AB1,AB42,CHAR(10), AC1,AC42,CHAR(10), )</f>
        <v xml:space="preserve">Каналы:8 моно
Канал EQ:3-полосный
MIC8
AUX выход:1
Выходная мощность: 2х230 Вт (8 Ом) / 2х450 Вт (4 Ом)
Выходная мощность: 
Потребляемая мощность:
Группа баз:
Сопротивление:
Частотный диапазон:20 Гц - 18ц
Эквалайзер общий:7-ми полосный эквалайзер
Моно дорожка:
Стерео дорожки:
AUX шины3 AUX шины
USB, звуковая карта:
Bluetooth:
USB:есть
фейдеррегулятор:
Аудио интерфейс:
Фантомное питание:+48 В
Эффекты:16 &amp; 24 DSP
Отношение сигнал/шум:&gt;105 дБ
КНИ:&lt;0,01%
Размеры:617х195х150 мм
Вес(кг): 18,0
Гарантийный срок: 12 месяцев
</v>
      </c>
      <c r="AE41" s="20">
        <v>19900</v>
      </c>
      <c r="AF41" s="140" t="s">
        <v>1827</v>
      </c>
      <c r="AG41" s="2" t="str">
        <f t="shared" si="0"/>
        <v>MCF PRW6 Микшерный пульт активный</v>
      </c>
      <c r="AH41" s="2" t="str">
        <f t="shared" si="1"/>
        <v>MCF PRW6 Микшерный пульт активный</v>
      </c>
      <c r="AI41" s="2" t="s">
        <v>1840</v>
      </c>
      <c r="AK41" s="2" t="s">
        <v>1837</v>
      </c>
      <c r="AL41" s="143" t="s">
        <v>1841</v>
      </c>
      <c r="AM41" s="143" t="s">
        <v>1842</v>
      </c>
      <c r="AN41" s="143" t="s">
        <v>1843</v>
      </c>
      <c r="AO41" s="143" t="s">
        <v>1844</v>
      </c>
      <c r="AP41" s="2" t="s">
        <v>1837</v>
      </c>
    </row>
    <row r="42" spans="1:42" ht="409.5" x14ac:dyDescent="0.25">
      <c r="A42" s="38">
        <v>41</v>
      </c>
      <c r="B42" s="14" t="s">
        <v>1853</v>
      </c>
      <c r="C42" s="13" t="s">
        <v>178</v>
      </c>
      <c r="D42" s="13" t="s">
        <v>148</v>
      </c>
      <c r="E42" s="13">
        <v>8</v>
      </c>
      <c r="F42" s="13">
        <v>1</v>
      </c>
      <c r="G42" s="13" t="s">
        <v>219</v>
      </c>
      <c r="H42" s="5"/>
      <c r="I42" s="5"/>
      <c r="J42" s="5"/>
      <c r="K42" s="5"/>
      <c r="L42" s="13" t="s">
        <v>1988</v>
      </c>
      <c r="M42" s="13" t="s">
        <v>175</v>
      </c>
      <c r="N42" s="5"/>
      <c r="O42" s="5"/>
      <c r="P42" s="13" t="s">
        <v>203</v>
      </c>
      <c r="Q42" s="5"/>
      <c r="R42" s="5"/>
      <c r="S42" s="13" t="s">
        <v>136</v>
      </c>
      <c r="V42" s="5"/>
      <c r="W42" s="13" t="s">
        <v>109</v>
      </c>
      <c r="X42" s="13" t="s">
        <v>176</v>
      </c>
      <c r="Y42" s="13" t="s">
        <v>112</v>
      </c>
      <c r="Z42" s="13" t="s">
        <v>114</v>
      </c>
      <c r="AA42" s="13" t="s">
        <v>220</v>
      </c>
      <c r="AB42" s="13" t="s">
        <v>1997</v>
      </c>
      <c r="AC42" s="13" t="s">
        <v>119</v>
      </c>
      <c r="AD42" s="13" t="str">
        <f>CONCATENATE( C1,C43,CHAR(10), D1,D43,CHAR(10), E1,E43,CHAR(10), F1,F43,CHAR(10), G1,G43,CHAR(10), H1,H43,CHAR(10), I1,I43,CHAR(10), J1,J43,CHAR(10), K1,K43,CHAR(10), L1,L43,CHAR(10), M1,M43,CHAR(10), N1,N43,CHAR(10), O1,O43,CHAR(10), P1,P43,CHAR(10), Q1,Q43,CHAR(10), R1,R43,CHAR(10), S1,S43,CHAR(10), U1,U43,CHAR(10), V1,V43,CHAR(10), W1,W43,CHAR(10), X1,X43,CHAR(10), Y1,Y43,CHAR(10), Z1,Z43,CHAR(10), AA1,AA43,CHAR(10), AB1,AB43,CHAR(10), AC1,AC43,CHAR(10), )</f>
        <v xml:space="preserve">Каналы:
Канал EQ:
MIC
AUX выход:
Выходная мощность: 
Выходная мощность: 
Потребляемая мощность:
Группа баз:
Сопротивление:
Частотный диапазон:
Эквалайзер общий:
Моно дорожка:
Стерео дорожки:
AUX шины
USB, звуковая карта:
Bluetooth:
USB:
фейдеррегулятор:
Аудио интерфейс:
Фантомное питание:
Эффекты:
Отношение сигнал/шум:
КНИ:
Размеры:
Вес(кг): 
Гарантийный срок: 
</v>
      </c>
      <c r="AE42" s="12" t="s">
        <v>1852</v>
      </c>
      <c r="AF42" s="140" t="s">
        <v>1827</v>
      </c>
      <c r="AG42" s="2" t="str">
        <f t="shared" si="0"/>
        <v>MCF PRW8 Микшерный пульт активный</v>
      </c>
      <c r="AH42" s="2" t="str">
        <f t="shared" si="1"/>
        <v>MCF PRW8 Микшерный пульт активный</v>
      </c>
      <c r="AI42" s="2" t="s">
        <v>1840</v>
      </c>
      <c r="AK42" s="2" t="s">
        <v>1837</v>
      </c>
      <c r="AL42" s="143" t="s">
        <v>1841</v>
      </c>
      <c r="AM42" s="143" t="s">
        <v>1842</v>
      </c>
      <c r="AN42" s="143" t="s">
        <v>1843</v>
      </c>
      <c r="AO42" s="143" t="s">
        <v>1844</v>
      </c>
      <c r="AP42" s="2" t="s">
        <v>1837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T42"/>
  <sheetViews>
    <sheetView workbookViewId="0">
      <pane ySplit="1" topLeftCell="A2" activePane="bottomLeft" state="frozen"/>
      <selection pane="bottomLeft" activeCell="E2" sqref="E2"/>
    </sheetView>
  </sheetViews>
  <sheetFormatPr defaultRowHeight="17.25" customHeight="1" x14ac:dyDescent="0.25"/>
  <cols>
    <col min="1" max="1" width="9.140625" style="40"/>
    <col min="2" max="2" width="21.5703125" style="8" customWidth="1"/>
    <col min="3" max="3" width="33.5703125" style="15" customWidth="1"/>
    <col min="4" max="5" width="9.140625" style="9"/>
    <col min="6" max="6" width="53.42578125" style="150" customWidth="1"/>
    <col min="7" max="7" width="14.28515625" style="9" customWidth="1"/>
    <col min="8" max="8" width="9.140625" style="9"/>
    <col min="9" max="9" width="26" style="9" customWidth="1"/>
    <col min="10" max="10" width="24" style="9" bestFit="1" customWidth="1"/>
    <col min="11" max="16384" width="9.140625" style="9"/>
  </cols>
  <sheetData>
    <row r="1" spans="1:20" s="39" customFormat="1" ht="17.25" customHeight="1" x14ac:dyDescent="0.25">
      <c r="A1" s="39" t="s">
        <v>636</v>
      </c>
      <c r="B1" s="41" t="s">
        <v>698</v>
      </c>
      <c r="C1" s="42" t="s">
        <v>1974</v>
      </c>
      <c r="D1" s="42" t="s">
        <v>1975</v>
      </c>
      <c r="E1" s="42" t="s">
        <v>375</v>
      </c>
      <c r="F1" s="51" t="s">
        <v>1976</v>
      </c>
      <c r="G1" s="41" t="s">
        <v>1</v>
      </c>
      <c r="H1" s="141" t="s">
        <v>1826</v>
      </c>
      <c r="I1" s="142" t="s">
        <v>1828</v>
      </c>
      <c r="J1" s="142" t="s">
        <v>1829</v>
      </c>
      <c r="K1" s="142" t="s">
        <v>1830</v>
      </c>
      <c r="L1" s="142" t="s">
        <v>1831</v>
      </c>
      <c r="M1" s="142" t="s">
        <v>1832</v>
      </c>
      <c r="N1" s="142" t="s">
        <v>1833</v>
      </c>
      <c r="O1" s="142" t="s">
        <v>1834</v>
      </c>
      <c r="P1" s="142" t="s">
        <v>1835</v>
      </c>
      <c r="Q1" s="142" t="s">
        <v>1836</v>
      </c>
      <c r="R1" s="35" t="s">
        <v>1845</v>
      </c>
      <c r="S1" s="35"/>
      <c r="T1" s="35"/>
    </row>
    <row r="2" spans="1:20" ht="86.25" customHeight="1" x14ac:dyDescent="0.25">
      <c r="A2" s="40">
        <v>1</v>
      </c>
      <c r="B2" s="21" t="s">
        <v>260</v>
      </c>
      <c r="C2" s="19" t="s">
        <v>261</v>
      </c>
      <c r="D2" s="12" t="s">
        <v>262</v>
      </c>
      <c r="E2" s="12"/>
      <c r="F2" s="1" t="str">
        <f>CONCATENATE( C1,C2,CHAR(10), D1,D2,CHAR(10), )</f>
        <v xml:space="preserve">Характеристики:12 XLR(f) Input + 4 XLR(m) Return
Длина:20 м
</v>
      </c>
      <c r="G2" s="22">
        <v>29900</v>
      </c>
      <c r="H2" s="140" t="s">
        <v>1827</v>
      </c>
      <c r="I2" s="2" t="str">
        <f t="shared" ref="I2:I20" si="0">CONCATENATE(S2," ",B2," ",D2)</f>
        <v>MCF Мультикор 12/4 20 м</v>
      </c>
      <c r="J2" s="2" t="str">
        <f>CONCATENATE(T2,I2)</f>
        <v>MCF Мультикор 12/4 20 м</v>
      </c>
      <c r="K2" s="2" t="s">
        <v>1840</v>
      </c>
      <c r="L2" s="2"/>
      <c r="M2" s="2" t="s">
        <v>1837</v>
      </c>
      <c r="N2" s="143" t="s">
        <v>1841</v>
      </c>
      <c r="O2" s="143" t="s">
        <v>1842</v>
      </c>
      <c r="P2" s="143" t="s">
        <v>1843</v>
      </c>
      <c r="Q2" s="143" t="s">
        <v>1844</v>
      </c>
      <c r="R2" s="2" t="s">
        <v>1837</v>
      </c>
      <c r="S2" s="2" t="s">
        <v>1837</v>
      </c>
      <c r="T2" s="2"/>
    </row>
    <row r="3" spans="1:20" ht="17.25" customHeight="1" x14ac:dyDescent="0.25">
      <c r="A3" s="40">
        <v>2</v>
      </c>
      <c r="B3" s="21" t="s">
        <v>260</v>
      </c>
      <c r="C3" s="19" t="s">
        <v>261</v>
      </c>
      <c r="D3" s="12" t="s">
        <v>263</v>
      </c>
      <c r="E3" s="12"/>
      <c r="F3" s="1" t="str">
        <f>CONCATENATE( C1,C3,CHAR(10), D1,D3,CHAR(10), )</f>
        <v xml:space="preserve">Характеристики:12 XLR(f) Input + 4 XLR(m) Return
Длина:25 м
</v>
      </c>
      <c r="G3" s="22">
        <v>34900</v>
      </c>
      <c r="H3" s="140" t="s">
        <v>1827</v>
      </c>
      <c r="I3" s="2" t="str">
        <f t="shared" si="0"/>
        <v>MCF Мультикор 12/4 25 м</v>
      </c>
      <c r="J3" s="2" t="str">
        <f t="shared" ref="J3:J20" si="1">CONCATENATE(T3,I3)</f>
        <v>MCF Мультикор 12/4 25 м</v>
      </c>
      <c r="K3" s="2" t="s">
        <v>1840</v>
      </c>
      <c r="L3" s="2"/>
      <c r="M3" s="2" t="s">
        <v>1837</v>
      </c>
      <c r="N3" s="143" t="s">
        <v>1841</v>
      </c>
      <c r="O3" s="143" t="s">
        <v>1842</v>
      </c>
      <c r="P3" s="143" t="s">
        <v>1843</v>
      </c>
      <c r="Q3" s="143" t="s">
        <v>1844</v>
      </c>
      <c r="R3" s="2" t="s">
        <v>1837</v>
      </c>
      <c r="S3" s="2" t="s">
        <v>1837</v>
      </c>
      <c r="T3" s="2"/>
    </row>
    <row r="4" spans="1:20" ht="17.25" customHeight="1" x14ac:dyDescent="0.25">
      <c r="A4" s="40">
        <v>3</v>
      </c>
      <c r="B4" s="21" t="s">
        <v>260</v>
      </c>
      <c r="C4" s="19" t="s">
        <v>261</v>
      </c>
      <c r="D4" s="12" t="s">
        <v>264</v>
      </c>
      <c r="E4" s="12"/>
      <c r="F4" s="1" t="str">
        <f>CONCATENATE( C1,C4,CHAR(10), D1,D4,CHAR(10), )</f>
        <v xml:space="preserve">Характеристики:12 XLR(f) Input + 4 XLR(m) Return
Длина:30 м
</v>
      </c>
      <c r="G4" s="22">
        <v>37900</v>
      </c>
      <c r="H4" s="140" t="s">
        <v>1827</v>
      </c>
      <c r="I4" s="2" t="str">
        <f t="shared" si="0"/>
        <v>MCF Мультикор 12/4 30 м</v>
      </c>
      <c r="J4" s="2" t="str">
        <f t="shared" si="1"/>
        <v>MCF Мультикор 12/4 30 м</v>
      </c>
      <c r="K4" s="2" t="s">
        <v>1840</v>
      </c>
      <c r="L4" s="2"/>
      <c r="M4" s="2" t="s">
        <v>1837</v>
      </c>
      <c r="N4" s="143" t="s">
        <v>1841</v>
      </c>
      <c r="O4" s="143" t="s">
        <v>1842</v>
      </c>
      <c r="P4" s="143" t="s">
        <v>1843</v>
      </c>
      <c r="Q4" s="143" t="s">
        <v>1844</v>
      </c>
      <c r="R4" s="2" t="s">
        <v>1837</v>
      </c>
      <c r="S4" s="2" t="s">
        <v>1837</v>
      </c>
      <c r="T4" s="2"/>
    </row>
    <row r="5" spans="1:20" ht="17.25" customHeight="1" x14ac:dyDescent="0.25">
      <c r="A5" s="40">
        <v>4</v>
      </c>
      <c r="B5" s="21" t="s">
        <v>260</v>
      </c>
      <c r="C5" s="19" t="s">
        <v>261</v>
      </c>
      <c r="D5" s="12" t="s">
        <v>265</v>
      </c>
      <c r="E5" s="12"/>
      <c r="F5" s="1" t="str">
        <f>CONCATENATE( C1,C5,CHAR(10), D1,D5,CHAR(10), )</f>
        <v xml:space="preserve">Характеристики:12 XLR(f) Input + 4 XLR(m) Return
Длина:50 м
</v>
      </c>
      <c r="G5" s="22">
        <v>44900</v>
      </c>
      <c r="H5" s="140" t="s">
        <v>1827</v>
      </c>
      <c r="I5" s="2" t="str">
        <f t="shared" si="0"/>
        <v>MCF Мультикор 12/4 50 м</v>
      </c>
      <c r="J5" s="2" t="str">
        <f t="shared" si="1"/>
        <v>MCF Мультикор 12/4 50 м</v>
      </c>
      <c r="K5" s="2" t="s">
        <v>1840</v>
      </c>
      <c r="L5" s="2"/>
      <c r="M5" s="2" t="s">
        <v>1837</v>
      </c>
      <c r="N5" s="143" t="s">
        <v>1841</v>
      </c>
      <c r="O5" s="143" t="s">
        <v>1842</v>
      </c>
      <c r="P5" s="143" t="s">
        <v>1843</v>
      </c>
      <c r="Q5" s="143" t="s">
        <v>1844</v>
      </c>
      <c r="R5" s="2" t="s">
        <v>1837</v>
      </c>
      <c r="S5" s="2" t="s">
        <v>1837</v>
      </c>
      <c r="T5" s="2"/>
    </row>
    <row r="6" spans="1:20" ht="17.25" customHeight="1" x14ac:dyDescent="0.25">
      <c r="A6" s="40">
        <v>5</v>
      </c>
      <c r="B6" s="21" t="s">
        <v>266</v>
      </c>
      <c r="C6" s="19" t="s">
        <v>267</v>
      </c>
      <c r="D6" s="12" t="s">
        <v>262</v>
      </c>
      <c r="E6" s="12"/>
      <c r="F6" s="1" t="str">
        <f>CONCATENATE( C1,C6,CHAR(10), D1,D6,CHAR(10), )</f>
        <v xml:space="preserve">Характеристики:16 XLR(f) Input + 4 XLR(m) Return
Длина:20 м
</v>
      </c>
      <c r="G6" s="22">
        <v>34900</v>
      </c>
      <c r="H6" s="140" t="s">
        <v>1827</v>
      </c>
      <c r="I6" s="2" t="str">
        <f t="shared" si="0"/>
        <v>MCF Мультикор 16/4 20 м</v>
      </c>
      <c r="J6" s="2" t="str">
        <f t="shared" si="1"/>
        <v>MCF Мультикор 16/4 20 м</v>
      </c>
      <c r="K6" s="2" t="s">
        <v>1840</v>
      </c>
      <c r="L6" s="2"/>
      <c r="M6" s="2" t="s">
        <v>1837</v>
      </c>
      <c r="N6" s="143" t="s">
        <v>1841</v>
      </c>
      <c r="O6" s="143" t="s">
        <v>1842</v>
      </c>
      <c r="P6" s="143" t="s">
        <v>1843</v>
      </c>
      <c r="Q6" s="143" t="s">
        <v>1844</v>
      </c>
      <c r="R6" s="2" t="s">
        <v>1837</v>
      </c>
      <c r="S6" s="2" t="s">
        <v>1837</v>
      </c>
      <c r="T6" s="2"/>
    </row>
    <row r="7" spans="1:20" ht="17.25" customHeight="1" x14ac:dyDescent="0.25">
      <c r="A7" s="40">
        <v>6</v>
      </c>
      <c r="B7" s="21" t="s">
        <v>266</v>
      </c>
      <c r="C7" s="19" t="s">
        <v>267</v>
      </c>
      <c r="D7" s="12" t="s">
        <v>263</v>
      </c>
      <c r="E7" s="12"/>
      <c r="F7" s="1" t="str">
        <f>CONCATENATE( C1,C7,CHAR(10), D1,D7,CHAR(10), )</f>
        <v xml:space="preserve">Характеристики:16 XLR(f) Input + 4 XLR(m) Return
Длина:25 м
</v>
      </c>
      <c r="G7" s="22">
        <v>37900</v>
      </c>
      <c r="H7" s="140" t="s">
        <v>1827</v>
      </c>
      <c r="I7" s="2" t="str">
        <f t="shared" si="0"/>
        <v>MCF Мультикор 16/4 25 м</v>
      </c>
      <c r="J7" s="2" t="str">
        <f t="shared" si="1"/>
        <v>MCF Мультикор 16/4 25 м</v>
      </c>
      <c r="K7" s="2" t="s">
        <v>1840</v>
      </c>
      <c r="L7" s="2"/>
      <c r="M7" s="2" t="s">
        <v>1837</v>
      </c>
      <c r="N7" s="143" t="s">
        <v>1841</v>
      </c>
      <c r="O7" s="143" t="s">
        <v>1842</v>
      </c>
      <c r="P7" s="143" t="s">
        <v>1843</v>
      </c>
      <c r="Q7" s="143" t="s">
        <v>1844</v>
      </c>
      <c r="R7" s="2" t="s">
        <v>1837</v>
      </c>
      <c r="S7" s="2" t="s">
        <v>1837</v>
      </c>
      <c r="T7" s="2"/>
    </row>
    <row r="8" spans="1:20" ht="17.25" customHeight="1" x14ac:dyDescent="0.25">
      <c r="A8" s="40">
        <v>7</v>
      </c>
      <c r="B8" s="21" t="s">
        <v>266</v>
      </c>
      <c r="C8" s="19" t="s">
        <v>267</v>
      </c>
      <c r="D8" s="12" t="s">
        <v>264</v>
      </c>
      <c r="E8" s="12"/>
      <c r="F8" s="1" t="str">
        <f>CONCATENATE( C1,C8,CHAR(10), D1,D8,CHAR(10), )</f>
        <v xml:space="preserve">Характеристики:16 XLR(f) Input + 4 XLR(m) Return
Длина:30 м
</v>
      </c>
      <c r="G8" s="22">
        <v>39900</v>
      </c>
      <c r="H8" s="140" t="s">
        <v>1827</v>
      </c>
      <c r="I8" s="2" t="str">
        <f t="shared" si="0"/>
        <v>MCF Мультикор 16/4 30 м</v>
      </c>
      <c r="J8" s="2" t="str">
        <f t="shared" si="1"/>
        <v>MCF Мультикор 16/4 30 м</v>
      </c>
      <c r="K8" s="2" t="s">
        <v>1840</v>
      </c>
      <c r="L8" s="2"/>
      <c r="M8" s="2" t="s">
        <v>1837</v>
      </c>
      <c r="N8" s="143" t="s">
        <v>1841</v>
      </c>
      <c r="O8" s="143" t="s">
        <v>1842</v>
      </c>
      <c r="P8" s="143" t="s">
        <v>1843</v>
      </c>
      <c r="Q8" s="143" t="s">
        <v>1844</v>
      </c>
      <c r="R8" s="2" t="s">
        <v>1837</v>
      </c>
      <c r="S8" s="2" t="s">
        <v>1837</v>
      </c>
      <c r="T8" s="2"/>
    </row>
    <row r="9" spans="1:20" ht="17.25" customHeight="1" x14ac:dyDescent="0.25">
      <c r="A9" s="40">
        <v>8</v>
      </c>
      <c r="B9" s="21" t="s">
        <v>266</v>
      </c>
      <c r="C9" s="19" t="s">
        <v>267</v>
      </c>
      <c r="D9" s="12" t="s">
        <v>265</v>
      </c>
      <c r="E9" s="12"/>
      <c r="F9" s="1" t="str">
        <f>CONCATENATE( C1,C9,CHAR(10), D1,D9,CHAR(10), )</f>
        <v xml:space="preserve">Характеристики:16 XLR(f) Input + 4 XLR(m) Return
Длина:50 м
</v>
      </c>
      <c r="G9" s="22">
        <v>49900</v>
      </c>
      <c r="H9" s="140" t="s">
        <v>1827</v>
      </c>
      <c r="I9" s="2" t="str">
        <f t="shared" si="0"/>
        <v>MCF Мультикор 16/4 50 м</v>
      </c>
      <c r="J9" s="2" t="str">
        <f t="shared" si="1"/>
        <v>MCF Мультикор 16/4 50 м</v>
      </c>
      <c r="K9" s="2" t="s">
        <v>1840</v>
      </c>
      <c r="L9" s="2"/>
      <c r="M9" s="2" t="s">
        <v>1837</v>
      </c>
      <c r="N9" s="143" t="s">
        <v>1841</v>
      </c>
      <c r="O9" s="143" t="s">
        <v>1842</v>
      </c>
      <c r="P9" s="143" t="s">
        <v>1843</v>
      </c>
      <c r="Q9" s="143" t="s">
        <v>1844</v>
      </c>
      <c r="R9" s="2" t="s">
        <v>1837</v>
      </c>
      <c r="S9" s="2" t="s">
        <v>1837</v>
      </c>
      <c r="T9" s="2"/>
    </row>
    <row r="10" spans="1:20" ht="17.25" customHeight="1" x14ac:dyDescent="0.25">
      <c r="A10" s="40">
        <v>9</v>
      </c>
      <c r="B10" s="21" t="s">
        <v>268</v>
      </c>
      <c r="C10" s="19" t="s">
        <v>269</v>
      </c>
      <c r="D10" s="12" t="s">
        <v>262</v>
      </c>
      <c r="E10" s="12"/>
      <c r="F10" s="1" t="str">
        <f>CONCATENATE( C1,C10,CHAR(10), D1,D10,CHAR(10), )</f>
        <v xml:space="preserve">Характеристики:24 XLR(f) Input + 4 XLR(m) Return
Длина:20 м
</v>
      </c>
      <c r="G10" s="22">
        <v>39900</v>
      </c>
      <c r="H10" s="140" t="s">
        <v>1827</v>
      </c>
      <c r="I10" s="2" t="str">
        <f t="shared" si="0"/>
        <v>MCF Мультикор24/4 20 м</v>
      </c>
      <c r="J10" s="2" t="str">
        <f t="shared" si="1"/>
        <v>MCF Мультикор24/4 20 м</v>
      </c>
      <c r="K10" s="2" t="s">
        <v>1840</v>
      </c>
      <c r="L10" s="2"/>
      <c r="M10" s="2" t="s">
        <v>1837</v>
      </c>
      <c r="N10" s="143" t="s">
        <v>1841</v>
      </c>
      <c r="O10" s="143" t="s">
        <v>1842</v>
      </c>
      <c r="P10" s="143" t="s">
        <v>1843</v>
      </c>
      <c r="Q10" s="143" t="s">
        <v>1844</v>
      </c>
      <c r="R10" s="2" t="s">
        <v>1837</v>
      </c>
      <c r="S10" s="2" t="s">
        <v>1837</v>
      </c>
      <c r="T10" s="2"/>
    </row>
    <row r="11" spans="1:20" ht="17.25" customHeight="1" x14ac:dyDescent="0.25">
      <c r="A11" s="40">
        <v>10</v>
      </c>
      <c r="B11" s="21" t="s">
        <v>268</v>
      </c>
      <c r="C11" s="19" t="s">
        <v>269</v>
      </c>
      <c r="D11" s="12" t="s">
        <v>263</v>
      </c>
      <c r="E11" s="12"/>
      <c r="F11" s="1" t="str">
        <f>CONCATENATE( C1,C11,CHAR(10), D1,D11,CHAR(10), )</f>
        <v xml:space="preserve">Характеристики:24 XLR(f) Input + 4 XLR(m) Return
Длина:25 м
</v>
      </c>
      <c r="G11" s="22">
        <v>44900</v>
      </c>
      <c r="H11" s="140" t="s">
        <v>1827</v>
      </c>
      <c r="I11" s="2" t="str">
        <f t="shared" si="0"/>
        <v>MCF Мультикор24/4 25 м</v>
      </c>
      <c r="J11" s="2" t="str">
        <f t="shared" si="1"/>
        <v>MCF Мультикор24/4 25 м</v>
      </c>
      <c r="K11" s="2" t="s">
        <v>1840</v>
      </c>
      <c r="L11" s="2"/>
      <c r="M11" s="2" t="s">
        <v>1837</v>
      </c>
      <c r="N11" s="143" t="s">
        <v>1841</v>
      </c>
      <c r="O11" s="143" t="s">
        <v>1842</v>
      </c>
      <c r="P11" s="143" t="s">
        <v>1843</v>
      </c>
      <c r="Q11" s="143" t="s">
        <v>1844</v>
      </c>
      <c r="R11" s="2" t="s">
        <v>1837</v>
      </c>
      <c r="S11" s="2" t="s">
        <v>1837</v>
      </c>
      <c r="T11" s="2"/>
    </row>
    <row r="12" spans="1:20" ht="17.25" customHeight="1" x14ac:dyDescent="0.25">
      <c r="A12" s="40">
        <v>11</v>
      </c>
      <c r="B12" s="21" t="s">
        <v>268</v>
      </c>
      <c r="C12" s="19" t="s">
        <v>269</v>
      </c>
      <c r="D12" s="12" t="s">
        <v>264</v>
      </c>
      <c r="E12" s="12"/>
      <c r="F12" s="1" t="str">
        <f>CONCATENATE( C1,C12,CHAR(10), D1,D12,CHAR(10), )</f>
        <v xml:space="preserve">Характеристики:24 XLR(f) Input + 4 XLR(m) Return
Длина:30 м
</v>
      </c>
      <c r="G12" s="22">
        <v>49900</v>
      </c>
      <c r="H12" s="140" t="s">
        <v>1827</v>
      </c>
      <c r="I12" s="2" t="str">
        <f t="shared" si="0"/>
        <v>MCF Мультикор24/4 30 м</v>
      </c>
      <c r="J12" s="2" t="str">
        <f t="shared" si="1"/>
        <v>MCF Мультикор24/4 30 м</v>
      </c>
      <c r="K12" s="2" t="s">
        <v>1840</v>
      </c>
      <c r="L12" s="2"/>
      <c r="M12" s="2" t="s">
        <v>1837</v>
      </c>
      <c r="N12" s="143" t="s">
        <v>1841</v>
      </c>
      <c r="O12" s="143" t="s">
        <v>1842</v>
      </c>
      <c r="P12" s="143" t="s">
        <v>1843</v>
      </c>
      <c r="Q12" s="143" t="s">
        <v>1844</v>
      </c>
      <c r="R12" s="2" t="s">
        <v>1837</v>
      </c>
      <c r="S12" s="2" t="s">
        <v>1837</v>
      </c>
      <c r="T12" s="2"/>
    </row>
    <row r="13" spans="1:20" ht="17.25" customHeight="1" x14ac:dyDescent="0.25">
      <c r="A13" s="40">
        <v>12</v>
      </c>
      <c r="B13" s="21" t="s">
        <v>268</v>
      </c>
      <c r="C13" s="19" t="s">
        <v>269</v>
      </c>
      <c r="D13" s="12" t="s">
        <v>265</v>
      </c>
      <c r="E13" s="12"/>
      <c r="F13" s="1" t="str">
        <f>CONCATENATE( C1,C13,CHAR(10), D1,D13,CHAR(10), )</f>
        <v xml:space="preserve">Характеристики:24 XLR(f) Input + 4 XLR(m) Return
Длина:50 м
</v>
      </c>
      <c r="G13" s="22">
        <v>54900</v>
      </c>
      <c r="H13" s="140" t="s">
        <v>1827</v>
      </c>
      <c r="I13" s="2" t="str">
        <f t="shared" si="0"/>
        <v>MCF Мультикор24/4 50 м</v>
      </c>
      <c r="J13" s="2" t="str">
        <f t="shared" si="1"/>
        <v>MCF Мультикор24/4 50 м</v>
      </c>
      <c r="K13" s="2" t="s">
        <v>1840</v>
      </c>
      <c r="L13" s="2"/>
      <c r="M13" s="2" t="s">
        <v>1837</v>
      </c>
      <c r="N13" s="143" t="s">
        <v>1841</v>
      </c>
      <c r="O13" s="143" t="s">
        <v>1842</v>
      </c>
      <c r="P13" s="143" t="s">
        <v>1843</v>
      </c>
      <c r="Q13" s="143" t="s">
        <v>1844</v>
      </c>
      <c r="R13" s="2" t="s">
        <v>1837</v>
      </c>
      <c r="S13" s="2" t="s">
        <v>1837</v>
      </c>
      <c r="T13" s="2"/>
    </row>
    <row r="14" spans="1:20" ht="17.25" customHeight="1" x14ac:dyDescent="0.25">
      <c r="A14" s="40">
        <v>13</v>
      </c>
      <c r="B14" s="21" t="s">
        <v>270</v>
      </c>
      <c r="C14" s="19" t="s">
        <v>271</v>
      </c>
      <c r="D14" s="12" t="s">
        <v>262</v>
      </c>
      <c r="E14" s="12"/>
      <c r="F14" s="1" t="str">
        <f>CONCATENATE( C1,C14,CHAR(10), D1,D14,CHAR(10), )</f>
        <v xml:space="preserve">Характеристики:24 XLR(f) Input + 8 XLR(m) Return
Длина:20 м
</v>
      </c>
      <c r="G14" s="22">
        <v>44900</v>
      </c>
      <c r="H14" s="140" t="s">
        <v>1827</v>
      </c>
      <c r="I14" s="2" t="str">
        <f t="shared" si="0"/>
        <v>MCF Мультикор24/8 20 м</v>
      </c>
      <c r="J14" s="2" t="str">
        <f t="shared" si="1"/>
        <v>MCF Мультикор24/8 20 м</v>
      </c>
      <c r="K14" s="2" t="s">
        <v>1840</v>
      </c>
      <c r="L14" s="2"/>
      <c r="M14" s="2" t="s">
        <v>1837</v>
      </c>
      <c r="N14" s="143" t="s">
        <v>1841</v>
      </c>
      <c r="O14" s="143" t="s">
        <v>1842</v>
      </c>
      <c r="P14" s="143" t="s">
        <v>1843</v>
      </c>
      <c r="Q14" s="143" t="s">
        <v>1844</v>
      </c>
      <c r="R14" s="2" t="s">
        <v>1837</v>
      </c>
      <c r="S14" s="2" t="s">
        <v>1837</v>
      </c>
      <c r="T14" s="2"/>
    </row>
    <row r="15" spans="1:20" ht="17.25" customHeight="1" x14ac:dyDescent="0.25">
      <c r="A15" s="40">
        <v>14</v>
      </c>
      <c r="B15" s="21" t="s">
        <v>270</v>
      </c>
      <c r="C15" s="19" t="s">
        <v>271</v>
      </c>
      <c r="D15" s="12" t="s">
        <v>263</v>
      </c>
      <c r="E15" s="12"/>
      <c r="F15" s="1" t="str">
        <f>CONCATENATE( C1,C15,CHAR(10), D1,D15,CHAR(10), )</f>
        <v xml:space="preserve">Характеристики:24 XLR(f) Input + 8 XLR(m) Return
Длина:25 м
</v>
      </c>
      <c r="G15" s="22">
        <v>49900</v>
      </c>
      <c r="H15" s="140" t="s">
        <v>1827</v>
      </c>
      <c r="I15" s="2" t="str">
        <f t="shared" si="0"/>
        <v>MCF Мультикор24/8 25 м</v>
      </c>
      <c r="J15" s="2" t="str">
        <f t="shared" si="1"/>
        <v>MCF Мультикор24/8 25 м</v>
      </c>
      <c r="K15" s="2" t="s">
        <v>1840</v>
      </c>
      <c r="L15" s="2"/>
      <c r="M15" s="2" t="s">
        <v>1837</v>
      </c>
      <c r="N15" s="143" t="s">
        <v>1841</v>
      </c>
      <c r="O15" s="143" t="s">
        <v>1842</v>
      </c>
      <c r="P15" s="143" t="s">
        <v>1843</v>
      </c>
      <c r="Q15" s="143" t="s">
        <v>1844</v>
      </c>
      <c r="R15" s="2" t="s">
        <v>1837</v>
      </c>
      <c r="S15" s="2" t="s">
        <v>1837</v>
      </c>
      <c r="T15" s="2"/>
    </row>
    <row r="16" spans="1:20" ht="17.25" customHeight="1" x14ac:dyDescent="0.25">
      <c r="A16" s="40">
        <v>15</v>
      </c>
      <c r="B16" s="21" t="s">
        <v>270</v>
      </c>
      <c r="C16" s="19" t="s">
        <v>271</v>
      </c>
      <c r="D16" s="12" t="s">
        <v>264</v>
      </c>
      <c r="E16" s="12"/>
      <c r="F16" s="1" t="str">
        <f>CONCATENATE( C1,C16,CHAR(10), D1,D16,CHAR(10), )</f>
        <v xml:space="preserve">Характеристики:24 XLR(f) Input + 8 XLR(m) Return
Длина:30 м
</v>
      </c>
      <c r="G16" s="22">
        <v>52900</v>
      </c>
      <c r="H16" s="140" t="s">
        <v>1827</v>
      </c>
      <c r="I16" s="2" t="str">
        <f t="shared" si="0"/>
        <v>MCF Мультикор24/8 30 м</v>
      </c>
      <c r="J16" s="2" t="str">
        <f t="shared" si="1"/>
        <v>MCF Мультикор24/8 30 м</v>
      </c>
      <c r="K16" s="2" t="s">
        <v>1840</v>
      </c>
      <c r="L16" s="2"/>
      <c r="M16" s="2" t="s">
        <v>1837</v>
      </c>
      <c r="N16" s="143" t="s">
        <v>1841</v>
      </c>
      <c r="O16" s="143" t="s">
        <v>1842</v>
      </c>
      <c r="P16" s="143" t="s">
        <v>1843</v>
      </c>
      <c r="Q16" s="143" t="s">
        <v>1844</v>
      </c>
      <c r="R16" s="2" t="s">
        <v>1837</v>
      </c>
      <c r="S16" s="2" t="s">
        <v>1837</v>
      </c>
      <c r="T16" s="2"/>
    </row>
    <row r="17" spans="1:20" ht="17.25" customHeight="1" x14ac:dyDescent="0.25">
      <c r="A17" s="40">
        <v>16</v>
      </c>
      <c r="B17" s="21" t="s">
        <v>270</v>
      </c>
      <c r="C17" s="19" t="s">
        <v>271</v>
      </c>
      <c r="D17" s="12" t="s">
        <v>265</v>
      </c>
      <c r="E17" s="12"/>
      <c r="F17" s="1" t="str">
        <f>CONCATENATE( C1,C17,CHAR(10), D1,D17,CHAR(10), )</f>
        <v xml:space="preserve">Характеристики:24 XLR(f) Input + 8 XLR(m) Return
Длина:50 м
</v>
      </c>
      <c r="G17" s="22">
        <v>59900</v>
      </c>
      <c r="H17" s="140" t="s">
        <v>1827</v>
      </c>
      <c r="I17" s="2" t="str">
        <f t="shared" si="0"/>
        <v>MCF Мультикор24/8 50 м</v>
      </c>
      <c r="J17" s="2" t="str">
        <f t="shared" si="1"/>
        <v>MCF Мультикор24/8 50 м</v>
      </c>
      <c r="K17" s="2" t="s">
        <v>1840</v>
      </c>
      <c r="L17" s="2"/>
      <c r="M17" s="2" t="s">
        <v>1837</v>
      </c>
      <c r="N17" s="143" t="s">
        <v>1841</v>
      </c>
      <c r="O17" s="143" t="s">
        <v>1842</v>
      </c>
      <c r="P17" s="143" t="s">
        <v>1843</v>
      </c>
      <c r="Q17" s="143" t="s">
        <v>1844</v>
      </c>
      <c r="R17" s="2" t="s">
        <v>1837</v>
      </c>
      <c r="S17" s="2" t="s">
        <v>1837</v>
      </c>
      <c r="T17" s="2"/>
    </row>
    <row r="18" spans="1:20" ht="17.25" customHeight="1" x14ac:dyDescent="0.25">
      <c r="A18" s="40">
        <v>17</v>
      </c>
      <c r="B18" s="21" t="s">
        <v>272</v>
      </c>
      <c r="C18" s="19" t="s">
        <v>273</v>
      </c>
      <c r="D18" s="12" t="s">
        <v>262</v>
      </c>
      <c r="E18" s="12"/>
      <c r="F18" s="1" t="str">
        <f>CONCATENATE( C1,C18,CHAR(10), D1,D18,CHAR(10), )</f>
        <v xml:space="preserve">Характеристики:32 XLR(f) Input + 8 XLR(m) Return
Длина:20 м
</v>
      </c>
      <c r="G18" s="22">
        <v>52900</v>
      </c>
      <c r="H18" s="140" t="s">
        <v>1827</v>
      </c>
      <c r="I18" s="2" t="str">
        <f t="shared" si="0"/>
        <v>MCF Мультикор 32/8 20 м</v>
      </c>
      <c r="J18" s="2" t="str">
        <f t="shared" si="1"/>
        <v>MCF Мультикор 32/8 20 м</v>
      </c>
      <c r="K18" s="2" t="s">
        <v>1840</v>
      </c>
      <c r="L18" s="2"/>
      <c r="M18" s="2" t="s">
        <v>1837</v>
      </c>
      <c r="N18" s="143" t="s">
        <v>1841</v>
      </c>
      <c r="O18" s="143" t="s">
        <v>1842</v>
      </c>
      <c r="P18" s="143" t="s">
        <v>1843</v>
      </c>
      <c r="Q18" s="143" t="s">
        <v>1844</v>
      </c>
      <c r="R18" s="2" t="s">
        <v>1837</v>
      </c>
      <c r="S18" s="2" t="s">
        <v>1837</v>
      </c>
      <c r="T18" s="2"/>
    </row>
    <row r="19" spans="1:20" ht="17.25" customHeight="1" x14ac:dyDescent="0.25">
      <c r="A19" s="40">
        <v>18</v>
      </c>
      <c r="B19" s="21" t="s">
        <v>272</v>
      </c>
      <c r="C19" s="19" t="s">
        <v>273</v>
      </c>
      <c r="D19" s="12" t="s">
        <v>263</v>
      </c>
      <c r="E19" s="12"/>
      <c r="F19" s="1" t="str">
        <f>CONCATENATE( C1,C19,CHAR(10), D1,D19,CHAR(10), )</f>
        <v xml:space="preserve">Характеристики:32 XLR(f) Input + 8 XLR(m) Return
Длина:25 м
</v>
      </c>
      <c r="G19" s="22">
        <v>54900</v>
      </c>
      <c r="H19" s="140" t="s">
        <v>1827</v>
      </c>
      <c r="I19" s="2" t="str">
        <f t="shared" si="0"/>
        <v>MCF Мультикор 32/8 25 м</v>
      </c>
      <c r="J19" s="2" t="str">
        <f t="shared" si="1"/>
        <v>MCF Мультикор 32/8 25 м</v>
      </c>
      <c r="K19" s="2" t="s">
        <v>1840</v>
      </c>
      <c r="L19" s="2"/>
      <c r="M19" s="2" t="s">
        <v>1837</v>
      </c>
      <c r="N19" s="143" t="s">
        <v>1841</v>
      </c>
      <c r="O19" s="143" t="s">
        <v>1842</v>
      </c>
      <c r="P19" s="143" t="s">
        <v>1843</v>
      </c>
      <c r="Q19" s="143" t="s">
        <v>1844</v>
      </c>
      <c r="R19" s="2" t="s">
        <v>1837</v>
      </c>
      <c r="S19" s="2" t="s">
        <v>1837</v>
      </c>
      <c r="T19" s="2"/>
    </row>
    <row r="20" spans="1:20" ht="17.25" customHeight="1" x14ac:dyDescent="0.25">
      <c r="A20" s="40">
        <v>19</v>
      </c>
      <c r="B20" s="21" t="s">
        <v>272</v>
      </c>
      <c r="C20" s="19" t="s">
        <v>273</v>
      </c>
      <c r="D20" s="12" t="s">
        <v>264</v>
      </c>
      <c r="E20" s="12"/>
      <c r="F20" s="1" t="str">
        <f>CONCATENATE( C1,C20,CHAR(10), D1,D20,CHAR(10), )</f>
        <v xml:space="preserve">Характеристики:32 XLR(f) Input + 8 XLR(m) Return
Длина:30 м
</v>
      </c>
      <c r="G20" s="22">
        <v>59900</v>
      </c>
      <c r="H20" s="140" t="s">
        <v>1827</v>
      </c>
      <c r="I20" s="2" t="str">
        <f t="shared" si="0"/>
        <v>MCF Мультикор 32/8 30 м</v>
      </c>
      <c r="J20" s="2" t="str">
        <f t="shared" si="1"/>
        <v>MCF Мультикор 32/8 30 м</v>
      </c>
      <c r="K20" s="2" t="s">
        <v>1840</v>
      </c>
      <c r="L20" s="2"/>
      <c r="M20" s="2" t="s">
        <v>1837</v>
      </c>
      <c r="N20" s="143" t="s">
        <v>1841</v>
      </c>
      <c r="O20" s="143" t="s">
        <v>1842</v>
      </c>
      <c r="P20" s="143" t="s">
        <v>1843</v>
      </c>
      <c r="Q20" s="143" t="s">
        <v>1844</v>
      </c>
      <c r="R20" s="2" t="s">
        <v>1837</v>
      </c>
      <c r="S20" s="2" t="s">
        <v>1837</v>
      </c>
      <c r="T20" s="2"/>
    </row>
    <row r="21" spans="1:20" ht="17.25" customHeight="1" x14ac:dyDescent="0.25">
      <c r="B21" s="10"/>
      <c r="H21" s="140"/>
      <c r="I21" s="2"/>
      <c r="J21" s="2"/>
      <c r="K21" s="2"/>
      <c r="L21" s="2"/>
      <c r="M21" s="2"/>
      <c r="N21" s="143"/>
      <c r="O21" s="143"/>
      <c r="P21" s="143"/>
      <c r="Q21" s="143"/>
      <c r="R21" s="2"/>
      <c r="S21" s="2"/>
      <c r="T21" s="2"/>
    </row>
    <row r="22" spans="1:20" ht="17.25" customHeight="1" x14ac:dyDescent="0.25">
      <c r="H22" s="140"/>
      <c r="I22" s="2"/>
      <c r="J22" s="2"/>
      <c r="K22" s="2"/>
      <c r="L22" s="2"/>
      <c r="M22" s="2"/>
      <c r="N22" s="143"/>
      <c r="O22" s="143"/>
      <c r="P22" s="143"/>
      <c r="Q22" s="143"/>
      <c r="R22" s="2"/>
      <c r="S22" s="2"/>
      <c r="T22" s="2"/>
    </row>
    <row r="23" spans="1:20" ht="17.25" customHeight="1" x14ac:dyDescent="0.25">
      <c r="B23" s="10"/>
      <c r="H23" s="140"/>
      <c r="I23" s="2"/>
      <c r="J23" s="2"/>
      <c r="K23" s="2"/>
      <c r="L23" s="2"/>
      <c r="M23" s="2"/>
      <c r="N23" s="143"/>
      <c r="O23" s="143"/>
      <c r="P23" s="143"/>
      <c r="Q23" s="143"/>
      <c r="R23" s="2"/>
      <c r="S23" s="2"/>
      <c r="T23" s="2"/>
    </row>
    <row r="24" spans="1:20" ht="17.25" customHeight="1" x14ac:dyDescent="0.25">
      <c r="B24" s="7"/>
      <c r="H24" s="140"/>
      <c r="I24" s="2"/>
      <c r="J24" s="2"/>
      <c r="K24" s="2"/>
      <c r="L24" s="2"/>
      <c r="M24" s="2"/>
      <c r="N24" s="143"/>
      <c r="O24" s="143"/>
      <c r="P24" s="143"/>
      <c r="Q24" s="143"/>
      <c r="R24" s="2"/>
      <c r="S24" s="2"/>
      <c r="T24" s="2"/>
    </row>
    <row r="25" spans="1:20" ht="17.25" customHeight="1" x14ac:dyDescent="0.25">
      <c r="H25" s="140"/>
      <c r="I25" s="2"/>
      <c r="J25" s="2"/>
      <c r="K25" s="2"/>
      <c r="L25" s="2"/>
      <c r="M25" s="2"/>
      <c r="N25" s="143"/>
      <c r="O25" s="143"/>
      <c r="P25" s="143"/>
      <c r="Q25" s="143"/>
      <c r="R25" s="2"/>
      <c r="S25" s="2"/>
      <c r="T25" s="2"/>
    </row>
    <row r="26" spans="1:20" ht="17.25" customHeight="1" x14ac:dyDescent="0.25">
      <c r="B26" s="7"/>
      <c r="H26" s="140"/>
      <c r="I26" s="2"/>
      <c r="J26" s="2"/>
      <c r="K26" s="2"/>
      <c r="L26" s="2"/>
      <c r="M26" s="2"/>
      <c r="N26" s="143"/>
      <c r="O26" s="143"/>
      <c r="P26" s="143"/>
      <c r="Q26" s="143"/>
      <c r="R26" s="2"/>
      <c r="S26" s="2"/>
      <c r="T26" s="2"/>
    </row>
    <row r="27" spans="1:20" ht="17.25" customHeight="1" x14ac:dyDescent="0.25">
      <c r="B27" s="7"/>
      <c r="H27" s="140"/>
      <c r="I27" s="2"/>
      <c r="J27" s="2"/>
      <c r="K27" s="2"/>
      <c r="L27" s="2"/>
      <c r="M27" s="2"/>
      <c r="N27" s="143"/>
      <c r="O27" s="143"/>
      <c r="P27" s="143"/>
      <c r="Q27" s="143"/>
      <c r="R27" s="2"/>
      <c r="S27" s="2"/>
      <c r="T27" s="2"/>
    </row>
    <row r="28" spans="1:20" ht="17.25" customHeight="1" x14ac:dyDescent="0.25">
      <c r="B28" s="7"/>
      <c r="H28" s="140"/>
      <c r="I28" s="2"/>
      <c r="J28" s="2"/>
      <c r="K28" s="2"/>
      <c r="L28" s="2"/>
      <c r="M28" s="2"/>
      <c r="N28" s="143"/>
      <c r="O28" s="143"/>
      <c r="P28" s="143"/>
      <c r="Q28" s="143"/>
      <c r="R28" s="2"/>
      <c r="S28" s="2"/>
      <c r="T28" s="2"/>
    </row>
    <row r="29" spans="1:20" ht="17.25" customHeight="1" x14ac:dyDescent="0.25">
      <c r="B29" s="7"/>
      <c r="H29" s="140"/>
      <c r="I29" s="2"/>
      <c r="J29" s="2"/>
      <c r="K29" s="2"/>
      <c r="L29" s="2"/>
      <c r="M29" s="2"/>
      <c r="N29" s="143"/>
      <c r="O29" s="143"/>
      <c r="P29" s="143"/>
      <c r="Q29" s="143"/>
      <c r="R29" s="2"/>
      <c r="S29" s="2"/>
      <c r="T29" s="2"/>
    </row>
    <row r="30" spans="1:20" ht="17.25" customHeight="1" x14ac:dyDescent="0.25">
      <c r="B30" s="7"/>
      <c r="H30" s="140"/>
      <c r="I30" s="2"/>
      <c r="J30" s="2"/>
      <c r="K30" s="2"/>
      <c r="L30" s="2"/>
      <c r="M30" s="2"/>
      <c r="N30" s="143"/>
      <c r="O30" s="143"/>
      <c r="P30" s="143"/>
      <c r="Q30" s="143"/>
      <c r="R30" s="2"/>
      <c r="S30" s="2"/>
      <c r="T30" s="2"/>
    </row>
    <row r="31" spans="1:20" ht="17.25" customHeight="1" x14ac:dyDescent="0.25">
      <c r="B31" s="7"/>
      <c r="H31" s="140"/>
      <c r="I31" s="2"/>
      <c r="J31" s="2"/>
      <c r="K31" s="2"/>
      <c r="L31" s="2"/>
      <c r="M31" s="2"/>
      <c r="N31" s="143"/>
      <c r="O31" s="143"/>
      <c r="P31" s="143"/>
      <c r="Q31" s="143"/>
      <c r="R31" s="2"/>
      <c r="S31" s="2"/>
      <c r="T31" s="2"/>
    </row>
    <row r="32" spans="1:20" ht="17.25" customHeight="1" x14ac:dyDescent="0.25">
      <c r="B32" s="7"/>
      <c r="H32" s="140"/>
      <c r="I32" s="2"/>
      <c r="J32" s="2"/>
      <c r="K32" s="2"/>
      <c r="L32" s="2"/>
      <c r="M32" s="2"/>
      <c r="N32" s="143"/>
      <c r="O32" s="143"/>
      <c r="P32" s="143"/>
      <c r="Q32" s="143"/>
      <c r="R32" s="2"/>
      <c r="S32" s="2"/>
      <c r="T32" s="2"/>
    </row>
    <row r="33" spans="2:20" ht="17.25" customHeight="1" x14ac:dyDescent="0.25">
      <c r="B33" s="7"/>
      <c r="H33" s="140"/>
      <c r="I33" s="2"/>
      <c r="J33" s="2"/>
      <c r="K33" s="2"/>
      <c r="L33" s="2"/>
      <c r="M33" s="2"/>
      <c r="N33" s="143"/>
      <c r="O33" s="143"/>
      <c r="P33" s="143"/>
      <c r="Q33" s="143"/>
      <c r="R33" s="2"/>
      <c r="S33" s="2"/>
      <c r="T33" s="2"/>
    </row>
    <row r="34" spans="2:20" ht="17.25" customHeight="1" x14ac:dyDescent="0.25">
      <c r="B34" s="7"/>
      <c r="H34" s="140"/>
      <c r="I34" s="2"/>
      <c r="J34" s="2"/>
      <c r="K34" s="2"/>
      <c r="L34" s="2"/>
      <c r="M34" s="2"/>
      <c r="N34" s="143"/>
      <c r="O34" s="143"/>
      <c r="P34" s="143"/>
      <c r="Q34" s="143"/>
      <c r="R34" s="2"/>
      <c r="S34" s="2"/>
      <c r="T34" s="2"/>
    </row>
    <row r="35" spans="2:20" ht="17.25" customHeight="1" x14ac:dyDescent="0.25">
      <c r="B35" s="11"/>
      <c r="H35" s="140"/>
      <c r="I35" s="2"/>
      <c r="J35" s="2"/>
      <c r="K35" s="2"/>
      <c r="L35" s="2"/>
      <c r="M35" s="2"/>
      <c r="N35" s="143"/>
      <c r="O35" s="143"/>
      <c r="P35" s="143"/>
      <c r="Q35" s="143"/>
      <c r="R35" s="2"/>
      <c r="S35" s="2"/>
      <c r="T35" s="2"/>
    </row>
    <row r="36" spans="2:20" ht="17.25" customHeight="1" x14ac:dyDescent="0.25">
      <c r="H36" s="140"/>
      <c r="I36" s="2"/>
      <c r="J36" s="2"/>
      <c r="K36" s="2"/>
      <c r="L36" s="2"/>
      <c r="M36" s="2"/>
      <c r="N36" s="143"/>
      <c r="O36" s="143"/>
      <c r="P36" s="143"/>
      <c r="Q36" s="143"/>
      <c r="R36" s="2"/>
      <c r="S36" s="2"/>
      <c r="T36" s="2"/>
    </row>
    <row r="37" spans="2:20" ht="17.25" customHeight="1" x14ac:dyDescent="0.25">
      <c r="H37" s="140"/>
      <c r="I37" s="2"/>
      <c r="J37" s="2"/>
      <c r="K37" s="2"/>
      <c r="L37" s="2"/>
      <c r="M37" s="2"/>
      <c r="N37" s="143"/>
      <c r="O37" s="143"/>
      <c r="P37" s="143"/>
      <c r="Q37" s="143"/>
      <c r="R37" s="2"/>
      <c r="S37" s="2"/>
      <c r="T37" s="2"/>
    </row>
    <row r="38" spans="2:20" ht="17.25" customHeight="1" x14ac:dyDescent="0.25">
      <c r="H38" s="140"/>
      <c r="I38" s="2"/>
      <c r="J38" s="2"/>
      <c r="K38" s="2"/>
      <c r="L38" s="2"/>
      <c r="M38" s="2"/>
      <c r="N38" s="143"/>
      <c r="O38" s="143"/>
      <c r="P38" s="143"/>
      <c r="Q38" s="143"/>
      <c r="R38" s="2"/>
      <c r="S38" s="2"/>
      <c r="T38" s="2"/>
    </row>
    <row r="39" spans="2:20" ht="17.25" customHeight="1" x14ac:dyDescent="0.25">
      <c r="H39" s="140"/>
      <c r="I39" s="2"/>
      <c r="J39" s="2"/>
      <c r="K39" s="2"/>
      <c r="L39" s="2"/>
      <c r="M39" s="2"/>
      <c r="N39" s="143"/>
      <c r="O39" s="143"/>
      <c r="P39" s="143"/>
      <c r="Q39" s="143"/>
      <c r="R39" s="2"/>
      <c r="S39" s="2"/>
      <c r="T39" s="2"/>
    </row>
    <row r="40" spans="2:20" ht="17.25" customHeight="1" x14ac:dyDescent="0.25">
      <c r="H40" s="140"/>
      <c r="I40" s="2"/>
      <c r="J40" s="2"/>
      <c r="K40" s="2"/>
      <c r="L40" s="2"/>
      <c r="M40" s="2"/>
      <c r="N40" s="143"/>
      <c r="O40" s="143"/>
      <c r="P40" s="143"/>
      <c r="Q40" s="143"/>
      <c r="R40" s="2"/>
      <c r="S40" s="2"/>
      <c r="T40" s="2"/>
    </row>
    <row r="41" spans="2:20" ht="17.25" customHeight="1" x14ac:dyDescent="0.25">
      <c r="H41" s="140"/>
      <c r="I41" s="2"/>
      <c r="J41" s="2"/>
      <c r="K41" s="2"/>
      <c r="L41" s="2"/>
      <c r="M41" s="2"/>
      <c r="N41" s="143"/>
      <c r="O41" s="143"/>
      <c r="P41" s="143"/>
      <c r="Q41" s="143"/>
      <c r="R41" s="2"/>
      <c r="S41" s="2"/>
      <c r="T41" s="2"/>
    </row>
    <row r="42" spans="2:20" ht="17.25" customHeight="1" x14ac:dyDescent="0.25">
      <c r="H42" s="140"/>
      <c r="I42" s="2"/>
      <c r="J42" s="2"/>
      <c r="K42" s="2"/>
      <c r="L42" s="2"/>
      <c r="M42" s="2"/>
      <c r="N42" s="143"/>
      <c r="O42" s="143"/>
      <c r="P42" s="143"/>
      <c r="Q42" s="143"/>
      <c r="R42" s="2"/>
      <c r="S42" s="2"/>
      <c r="T4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M40"/>
  <sheetViews>
    <sheetView zoomScale="70" zoomScaleNormal="70" workbookViewId="0">
      <pane ySplit="1" topLeftCell="A2" activePane="bottomLeft" state="frozen"/>
      <selection pane="bottomLeft" activeCell="Z2" sqref="Z2"/>
    </sheetView>
  </sheetViews>
  <sheetFormatPr defaultColWidth="45.42578125" defaultRowHeight="408.75" customHeight="1" x14ac:dyDescent="0.25"/>
  <cols>
    <col min="1" max="1" width="3.85546875" style="56" bestFit="1" customWidth="1"/>
    <col min="2" max="2" width="61.5703125" style="32" bestFit="1" customWidth="1"/>
    <col min="3" max="3" width="28.7109375" style="32" hidden="1" customWidth="1"/>
    <col min="4" max="4" width="24.28515625" style="32" hidden="1" customWidth="1"/>
    <col min="5" max="5" width="14.5703125" style="32" hidden="1" customWidth="1"/>
    <col min="6" max="6" width="17.42578125" style="32" hidden="1" customWidth="1"/>
    <col min="7" max="7" width="26.42578125" style="32" hidden="1" customWidth="1"/>
    <col min="8" max="8" width="26.85546875" style="32" hidden="1" customWidth="1"/>
    <col min="9" max="9" width="28.140625" style="32" hidden="1" customWidth="1"/>
    <col min="10" max="10" width="22.85546875" style="32" hidden="1" customWidth="1"/>
    <col min="11" max="11" width="21.5703125" style="32" hidden="1" customWidth="1"/>
    <col min="12" max="12" width="12.42578125" style="32" hidden="1" customWidth="1"/>
    <col min="13" max="13" width="27.5703125" style="32" hidden="1" customWidth="1"/>
    <col min="14" max="14" width="17.5703125" style="32" hidden="1" customWidth="1"/>
    <col min="15" max="15" width="18.5703125" style="32" hidden="1" customWidth="1"/>
    <col min="16" max="16" width="15.140625" style="32" hidden="1" customWidth="1"/>
    <col min="17" max="17" width="15.28515625" style="32" hidden="1" customWidth="1"/>
    <col min="18" max="18" width="18" style="32" hidden="1" customWidth="1"/>
    <col min="19" max="19" width="20.7109375" style="32" hidden="1" customWidth="1"/>
    <col min="20" max="20" width="19.28515625" style="32" hidden="1" customWidth="1"/>
    <col min="21" max="21" width="7.85546875" style="32" hidden="1" customWidth="1"/>
    <col min="22" max="22" width="37.7109375" style="32" hidden="1" customWidth="1"/>
    <col min="23" max="23" width="42.140625" style="32" hidden="1" customWidth="1"/>
    <col min="24" max="24" width="59.5703125" style="32" hidden="1" customWidth="1"/>
    <col min="25" max="25" width="15.28515625" style="32" hidden="1" customWidth="1"/>
    <col min="26" max="26" width="57.28515625" style="32" bestFit="1" customWidth="1"/>
    <col min="27" max="27" width="7.85546875" style="32" bestFit="1" customWidth="1"/>
    <col min="28" max="28" width="8.7109375" style="15" bestFit="1" customWidth="1"/>
    <col min="29" max="30" width="60.140625" style="15" bestFit="1" customWidth="1"/>
    <col min="31" max="31" width="19.7109375" style="15" bestFit="1" customWidth="1"/>
    <col min="32" max="32" width="24.7109375" style="15" bestFit="1" customWidth="1"/>
    <col min="33" max="33" width="11.140625" style="15" bestFit="1" customWidth="1"/>
    <col min="34" max="34" width="15.7109375" style="15" bestFit="1" customWidth="1"/>
    <col min="35" max="35" width="19.28515625" style="15" bestFit="1" customWidth="1"/>
    <col min="36" max="36" width="18.85546875" style="15" bestFit="1" customWidth="1"/>
    <col min="37" max="37" width="18.5703125" style="15" bestFit="1" customWidth="1"/>
    <col min="38" max="38" width="15.42578125" style="15" bestFit="1" customWidth="1"/>
    <col min="39" max="39" width="5.28515625" style="15" bestFit="1" customWidth="1"/>
    <col min="40" max="16384" width="45.42578125" style="32"/>
  </cols>
  <sheetData>
    <row r="1" spans="1:39" s="51" customFormat="1" ht="33.75" customHeight="1" x14ac:dyDescent="0.25">
      <c r="A1" s="51" t="s">
        <v>636</v>
      </c>
      <c r="B1" s="45" t="s">
        <v>0</v>
      </c>
      <c r="C1" s="51" t="s">
        <v>491</v>
      </c>
      <c r="D1" s="51" t="s">
        <v>1681</v>
      </c>
      <c r="E1" s="51" t="s">
        <v>523</v>
      </c>
      <c r="F1" s="51" t="s">
        <v>9</v>
      </c>
      <c r="G1" s="51" t="s">
        <v>111</v>
      </c>
      <c r="H1" s="51" t="s">
        <v>493</v>
      </c>
      <c r="I1" s="51" t="s">
        <v>495</v>
      </c>
      <c r="J1" s="51" t="s">
        <v>1679</v>
      </c>
      <c r="K1" s="51" t="s">
        <v>525</v>
      </c>
      <c r="L1" s="51" t="s">
        <v>7</v>
      </c>
      <c r="M1" s="51" t="s">
        <v>142</v>
      </c>
      <c r="N1" s="51" t="s">
        <v>1977</v>
      </c>
      <c r="O1" s="51" t="s">
        <v>529</v>
      </c>
      <c r="P1" s="51" t="s">
        <v>497</v>
      </c>
      <c r="Q1" s="51" t="s">
        <v>508</v>
      </c>
      <c r="R1" s="51" t="s">
        <v>519</v>
      </c>
      <c r="S1" s="51" t="s">
        <v>13</v>
      </c>
      <c r="T1" s="51" t="s">
        <v>115</v>
      </c>
      <c r="U1" s="51" t="s">
        <v>375</v>
      </c>
      <c r="V1" s="51" t="s">
        <v>531</v>
      </c>
      <c r="W1" s="51" t="s">
        <v>1368</v>
      </c>
      <c r="X1" s="51" t="s">
        <v>1369</v>
      </c>
      <c r="Y1" s="51" t="s">
        <v>1370</v>
      </c>
      <c r="Z1" s="51" t="s">
        <v>1651</v>
      </c>
      <c r="AA1" s="45" t="s">
        <v>1</v>
      </c>
      <c r="AB1" s="141" t="s">
        <v>1826</v>
      </c>
      <c r="AC1" s="142" t="s">
        <v>1828</v>
      </c>
      <c r="AD1" s="142" t="s">
        <v>1829</v>
      </c>
      <c r="AE1" s="142" t="s">
        <v>1830</v>
      </c>
      <c r="AF1" s="142" t="s">
        <v>1831</v>
      </c>
      <c r="AG1" s="142" t="s">
        <v>1832</v>
      </c>
      <c r="AH1" s="142" t="s">
        <v>1833</v>
      </c>
      <c r="AI1" s="142" t="s">
        <v>1834</v>
      </c>
      <c r="AJ1" s="142" t="s">
        <v>1835</v>
      </c>
      <c r="AK1" s="142" t="s">
        <v>1836</v>
      </c>
      <c r="AL1" s="35" t="s">
        <v>1845</v>
      </c>
      <c r="AM1" s="35"/>
    </row>
    <row r="2" spans="1:39" s="15" customFormat="1" ht="408.75" customHeight="1" x14ac:dyDescent="0.25">
      <c r="A2" s="48">
        <v>1</v>
      </c>
      <c r="B2" s="14" t="s">
        <v>490</v>
      </c>
      <c r="C2" s="1" t="s">
        <v>492</v>
      </c>
      <c r="D2" s="1"/>
      <c r="E2" s="1"/>
      <c r="F2" s="1" t="s">
        <v>10</v>
      </c>
      <c r="G2" s="1"/>
      <c r="H2" s="1" t="s">
        <v>494</v>
      </c>
      <c r="I2" s="1" t="s">
        <v>496</v>
      </c>
      <c r="J2" s="1"/>
      <c r="K2" s="1"/>
      <c r="L2" s="1"/>
      <c r="M2" s="1"/>
      <c r="N2" s="1"/>
      <c r="O2" s="1"/>
      <c r="P2" s="1" t="s">
        <v>498</v>
      </c>
      <c r="Q2" s="1"/>
      <c r="R2" s="1"/>
      <c r="S2" s="1" t="s">
        <v>499</v>
      </c>
      <c r="T2" s="1" t="s">
        <v>500</v>
      </c>
      <c r="U2" s="1" t="s">
        <v>501</v>
      </c>
      <c r="V2" s="1"/>
      <c r="Z2" s="15" t="str">
        <f>CONCATENATE( C1,C2,CHAR(10), D1,D2,CHAR(10), E1,E2,CHAR(10), F1,F2,CHAR(10), G1,G2,CHAR(10), H1,H2,CHAR(10), I1,I2,CHAR(10), J1,J2,CHAR(10), K1,K2,CHAR(10), L1,L2,CHAR(10), M1,M2,CHAR(10), N1,N2,CHAR(10), O1,O2,CHAR(10), P1,P2,CHAR(10), Q1,Q2,CHAR(10), R1,R2,CHAR(10), S1,S2,CHAR(10), T1,T2,CHAR(10), U1,U2,CHAR(10), V1,V2,CHAR(10), W1,W2,CHAR(10), X1,X2,CHAR(10), Y1,Y2,CHAR(10), )</f>
        <v xml:space="preserve">Воспроизводимая частота:85 Гц - 16 кГц
АЧХ:
Напряжение:
Сопротивление:8 Ом
Отношение сигнал/шум:
Номинальная мощность:3 Вт
Максимальная мощность:6 Вт
Выходная мощность:
Мощность на 100 В:
Мощность:
Потребляемая мощность:
Количество зон:
Динамик:
Динамик С.Ч.:120 мм
Динамик В.Ч.:
Поддержка USB:
Чувствительность:91 дБ (1 Вт / 1 м)
Размеры:ø180x708 мм
Вес:3,0 кг
Максимальное звуковое давление:
Охлаждение
Защита
Подключение
</v>
      </c>
      <c r="AA2" s="15" t="s">
        <v>672</v>
      </c>
      <c r="AB2" s="140" t="s">
        <v>1827</v>
      </c>
      <c r="AC2" s="2" t="str">
        <f>CONCATENATE(B2," ",N2,)</f>
        <v xml:space="preserve">MCF LS-901 бел </v>
      </c>
      <c r="AD2" s="2" t="str">
        <f>CONCATENATE(AN2,AC2)</f>
        <v xml:space="preserve">MCF LS-901 бел </v>
      </c>
      <c r="AE2" s="2" t="s">
        <v>1840</v>
      </c>
      <c r="AF2" s="2"/>
      <c r="AG2" s="2" t="s">
        <v>1837</v>
      </c>
      <c r="AH2" s="143" t="s">
        <v>1841</v>
      </c>
      <c r="AI2" s="143" t="s">
        <v>1842</v>
      </c>
      <c r="AJ2" s="143" t="s">
        <v>1843</v>
      </c>
      <c r="AK2" s="143" t="s">
        <v>1844</v>
      </c>
      <c r="AL2" s="2" t="s">
        <v>1837</v>
      </c>
      <c r="AM2" s="2" t="s">
        <v>1837</v>
      </c>
    </row>
    <row r="3" spans="1:39" s="15" customFormat="1" ht="408.75" customHeight="1" x14ac:dyDescent="0.25">
      <c r="A3" s="48">
        <v>2</v>
      </c>
      <c r="B3" s="14" t="s">
        <v>600</v>
      </c>
      <c r="C3" s="16" t="s">
        <v>492</v>
      </c>
      <c r="D3" s="16"/>
      <c r="E3" s="16"/>
      <c r="F3" s="16" t="s">
        <v>10</v>
      </c>
      <c r="G3" s="16"/>
      <c r="H3" s="16" t="s">
        <v>494</v>
      </c>
      <c r="I3" s="16" t="s">
        <v>496</v>
      </c>
      <c r="J3" s="16"/>
      <c r="K3" s="16"/>
      <c r="L3" s="16"/>
      <c r="M3" s="16"/>
      <c r="N3" s="16"/>
      <c r="O3" s="16"/>
      <c r="P3" s="16" t="s">
        <v>498</v>
      </c>
      <c r="Q3" s="16"/>
      <c r="R3" s="16"/>
      <c r="S3" s="16" t="s">
        <v>499</v>
      </c>
      <c r="T3" s="16" t="s">
        <v>500</v>
      </c>
      <c r="U3" s="16" t="s">
        <v>501</v>
      </c>
      <c r="V3" s="16"/>
      <c r="Z3" s="15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S1,S3,CHAR(10), T1,T3,CHAR(10), U1,U3,CHAR(10), V1,V3,CHAR(10), W1,W3,CHAR(10), X1,X3,CHAR(10), Y1,Y3,CHAR(10), )</f>
        <v xml:space="preserve">Воспроизводимая частота:85 Гц - 16 кГц
АЧХ:
Напряжение:
Сопротивление:8 Ом
Отношение сигнал/шум:
Номинальная мощность:3 Вт
Максимальная мощность:6 Вт
Выходная мощность:
Мощность на 100 В:
Мощность:
Потребляемая мощность:
Количество зон:
Динамик:
Динамик С.Ч.:120 мм
Динамик В.Ч.:
Поддержка USB:
Чувствительность:91 дБ (1 Вт / 1 м)
Размеры:ø180x708 мм
Вес:3,0 кг
Максимальное звуковое давление:
Охлаждение
Защита
Подключение
</v>
      </c>
      <c r="AA3" s="15" t="s">
        <v>672</v>
      </c>
      <c r="AB3" s="140" t="s">
        <v>1827</v>
      </c>
      <c r="AC3" s="2" t="str">
        <f t="shared" ref="AC3:AC40" si="0">CONCATENATE(B3," ",N3,)</f>
        <v xml:space="preserve">MCFLS-901чер Селекторная акустическая система </v>
      </c>
      <c r="AD3" s="2" t="str">
        <f t="shared" ref="AD3:AD40" si="1">CONCATENATE(AN3,AC3)</f>
        <v xml:space="preserve">MCFLS-901чер Селекторная акустическая система </v>
      </c>
      <c r="AE3" s="2" t="s">
        <v>1840</v>
      </c>
      <c r="AG3" s="2" t="s">
        <v>1837</v>
      </c>
      <c r="AH3" s="143" t="s">
        <v>1841</v>
      </c>
      <c r="AI3" s="143" t="s">
        <v>1842</v>
      </c>
      <c r="AJ3" s="143" t="s">
        <v>1843</v>
      </c>
      <c r="AK3" s="143" t="s">
        <v>1844</v>
      </c>
      <c r="AL3" s="2" t="s">
        <v>1837</v>
      </c>
      <c r="AM3" s="2" t="s">
        <v>1837</v>
      </c>
    </row>
    <row r="4" spans="1:39" s="15" customFormat="1" ht="408.75" customHeight="1" x14ac:dyDescent="0.25">
      <c r="A4" s="48">
        <v>3</v>
      </c>
      <c r="B4" s="14" t="s">
        <v>601</v>
      </c>
      <c r="C4" s="1" t="s">
        <v>502</v>
      </c>
      <c r="D4" s="1"/>
      <c r="E4" s="1"/>
      <c r="F4" s="1" t="s">
        <v>10</v>
      </c>
      <c r="G4" s="1"/>
      <c r="H4" s="1" t="s">
        <v>503</v>
      </c>
      <c r="I4" s="1" t="s">
        <v>504</v>
      </c>
      <c r="J4" s="1"/>
      <c r="K4" s="1"/>
      <c r="L4" s="1"/>
      <c r="M4" s="1"/>
      <c r="N4" s="1"/>
      <c r="O4" s="1"/>
      <c r="P4" s="1" t="s">
        <v>498</v>
      </c>
      <c r="Q4" s="1"/>
      <c r="R4" s="1"/>
      <c r="S4" s="1" t="s">
        <v>499</v>
      </c>
      <c r="T4" s="1" t="s">
        <v>505</v>
      </c>
      <c r="U4" s="1" t="s">
        <v>506</v>
      </c>
      <c r="V4" s="1"/>
      <c r="Z4" s="15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S1,S4,CHAR(10), T1,T4,CHAR(10), U1,U4,CHAR(10), V1,V4,CHAR(10), W1,W4,CHAR(10), X1,X4,CHAR(10), Y1,Y4,CHAR(10), )</f>
        <v xml:space="preserve">Воспроизводимая частота:90 Гц - 16 кГц
АЧХ:
Напряжение:
Сопротивление:8 Ом
Отношение сигнал/шум:
Номинальная мощность:5 Вт
Максимальная мощность:10 Вт
Выходная мощность:
Мощность на 100 В:
Мощность:
Потребляемая мощность:
Количество зон:
Динамик:
Динамик С.Ч.:120 мм
Динамик В.Ч.:
Поддержка USB:
Чувствительность:91 дБ (1 Вт / 1 м)
Размеры:Ø200x520 мм
Вес:2,8 кг
Максимальное звуковое давление:
Охлаждение
Защита
Подключение
</v>
      </c>
      <c r="AA4" s="15" t="s">
        <v>354</v>
      </c>
      <c r="AB4" s="140" t="s">
        <v>1827</v>
      </c>
      <c r="AC4" s="2" t="str">
        <f t="shared" si="0"/>
        <v xml:space="preserve">MCF LS-902 Селекторная акустическая система </v>
      </c>
      <c r="AD4" s="2" t="str">
        <f t="shared" si="1"/>
        <v xml:space="preserve">MCF LS-902 Селекторная акустическая система </v>
      </c>
      <c r="AE4" s="2" t="s">
        <v>1840</v>
      </c>
      <c r="AG4" s="2" t="s">
        <v>1837</v>
      </c>
      <c r="AH4" s="143" t="s">
        <v>1841</v>
      </c>
      <c r="AI4" s="143" t="s">
        <v>1842</v>
      </c>
      <c r="AJ4" s="143" t="s">
        <v>1843</v>
      </c>
      <c r="AK4" s="143" t="s">
        <v>1844</v>
      </c>
      <c r="AL4" s="2" t="s">
        <v>1837</v>
      </c>
      <c r="AM4" s="2" t="s">
        <v>1837</v>
      </c>
    </row>
    <row r="5" spans="1:39" s="15" customFormat="1" ht="408.75" customHeight="1" x14ac:dyDescent="0.25">
      <c r="A5" s="48">
        <v>4</v>
      </c>
      <c r="B5" s="14" t="s">
        <v>602</v>
      </c>
      <c r="C5" s="1" t="s">
        <v>492</v>
      </c>
      <c r="D5" s="1"/>
      <c r="E5" s="1"/>
      <c r="F5" s="1" t="s">
        <v>10</v>
      </c>
      <c r="G5" s="1"/>
      <c r="H5" s="1" t="s">
        <v>503</v>
      </c>
      <c r="I5" s="1" t="s">
        <v>504</v>
      </c>
      <c r="J5" s="1"/>
      <c r="K5" s="1"/>
      <c r="L5" s="1"/>
      <c r="M5" s="1"/>
      <c r="N5" s="1"/>
      <c r="O5" s="1"/>
      <c r="P5" s="1" t="s">
        <v>507</v>
      </c>
      <c r="Q5" s="1" t="s">
        <v>509</v>
      </c>
      <c r="R5" s="1"/>
      <c r="S5" s="1" t="s">
        <v>499</v>
      </c>
      <c r="T5" s="1" t="s">
        <v>510</v>
      </c>
      <c r="U5" s="1" t="s">
        <v>402</v>
      </c>
      <c r="V5" s="1"/>
      <c r="Z5" s="15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S1,S5,CHAR(10), T1,T5,CHAR(10), U1,U5,CHAR(10), V1,V5,CHAR(10), W1,W5,CHAR(10), X1,X5,CHAR(10), Y1,Y5,CHAR(10), )</f>
        <v xml:space="preserve">Воспроизводимая частота:85 Гц - 16 кГц
АЧХ:
Напряжение:
Сопротивление:8 Ом
Отношение сигнал/шум:
Номинальная мощность:5 Вт
Максимальная мощность:10 Вт
Выходная мощность:
Мощность на 100 В:
Мощность:
Потребляемая мощность:
Количество зон:
Динамик:
Динамик С.Ч.:166 мм
Динамик В.Ч.:12 мм
Поддержка USB:
Чувствительность:91 дБ (1 Вт / 1 м)
Размеры:Ø210x738 мм
Вес:3,5 кг
Максимальное звуковое давление:
Охлаждение
Защита
Подключение
</v>
      </c>
      <c r="AA5" s="15" t="s">
        <v>356</v>
      </c>
      <c r="AB5" s="140" t="s">
        <v>1827</v>
      </c>
      <c r="AC5" s="2" t="str">
        <f t="shared" si="0"/>
        <v xml:space="preserve">MCF LS-904 Селекторная акустическая система </v>
      </c>
      <c r="AD5" s="2" t="str">
        <f t="shared" si="1"/>
        <v xml:space="preserve">MCF LS-904 Селекторная акустическая система </v>
      </c>
      <c r="AE5" s="2" t="s">
        <v>1840</v>
      </c>
      <c r="AG5" s="2" t="s">
        <v>1837</v>
      </c>
      <c r="AH5" s="143" t="s">
        <v>1841</v>
      </c>
      <c r="AI5" s="143" t="s">
        <v>1842</v>
      </c>
      <c r="AJ5" s="143" t="s">
        <v>1843</v>
      </c>
      <c r="AK5" s="143" t="s">
        <v>1844</v>
      </c>
      <c r="AL5" s="2" t="s">
        <v>1837</v>
      </c>
      <c r="AM5" s="2" t="s">
        <v>1837</v>
      </c>
    </row>
    <row r="6" spans="1:39" s="15" customFormat="1" ht="408.75" customHeight="1" x14ac:dyDescent="0.25">
      <c r="A6" s="48">
        <v>5</v>
      </c>
      <c r="B6" s="14" t="s">
        <v>603</v>
      </c>
      <c r="C6" s="1" t="s">
        <v>511</v>
      </c>
      <c r="D6" s="1"/>
      <c r="E6" s="1"/>
      <c r="F6" s="1" t="s">
        <v>10</v>
      </c>
      <c r="G6" s="1"/>
      <c r="H6" s="1" t="s">
        <v>494</v>
      </c>
      <c r="I6" s="1" t="s">
        <v>496</v>
      </c>
      <c r="J6" s="1"/>
      <c r="K6" s="1"/>
      <c r="L6" s="1"/>
      <c r="M6" s="1"/>
      <c r="N6" s="1"/>
      <c r="O6" s="1"/>
      <c r="P6" s="1" t="s">
        <v>664</v>
      </c>
      <c r="S6" s="1" t="s">
        <v>512</v>
      </c>
      <c r="T6" s="1" t="s">
        <v>513</v>
      </c>
      <c r="U6" s="1" t="s">
        <v>514</v>
      </c>
      <c r="V6" s="1"/>
      <c r="Z6" s="15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S1,S6,CHAR(10), T1,T6,CHAR(10), U1,U6,CHAR(10), V1,V6,CHAR(10), W1,W6,CHAR(10), X1,X6,CHAR(10), Y1,Y6,CHAR(10), )</f>
        <v xml:space="preserve">Воспроизводимая частота:100 Гц - 20 кГц
АЧХ:
Напряжение:
Сопротивление:8 Ом
Отношение сигнал/шум:
Номинальная мощность:3 Вт
Максимальная мощность:6 Вт
Выходная мощность:
Мощность на 100 В:
Мощность:
Потребляемая мощность:
Количество зон:
Динамик:
Динамик С.Ч.:4.0”
Динамик В.Ч.:
Поддержка USB:
Чувствительность:92 дБ (1 Вт / 1 м)
Размеры:Ø180x63 мм
Вес:0,50 кг
Максимальное звуковое давление:
Охлаждение
Защита
Подключение
</v>
      </c>
      <c r="AA6" s="15">
        <v>790</v>
      </c>
      <c r="AB6" s="140" t="s">
        <v>1827</v>
      </c>
      <c r="AC6" s="2" t="str">
        <f t="shared" si="0"/>
        <v xml:space="preserve">MCFC-3W Селекторная акустическая система </v>
      </c>
      <c r="AD6" s="2" t="str">
        <f t="shared" si="1"/>
        <v xml:space="preserve">MCFC-3W Селекторная акустическая система </v>
      </c>
      <c r="AE6" s="2" t="s">
        <v>1840</v>
      </c>
      <c r="AG6" s="2" t="s">
        <v>1837</v>
      </c>
      <c r="AH6" s="143" t="s">
        <v>1841</v>
      </c>
      <c r="AI6" s="143" t="s">
        <v>1842</v>
      </c>
      <c r="AJ6" s="143" t="s">
        <v>1843</v>
      </c>
      <c r="AK6" s="143" t="s">
        <v>1844</v>
      </c>
      <c r="AL6" s="2" t="s">
        <v>1837</v>
      </c>
      <c r="AM6" s="2" t="s">
        <v>1837</v>
      </c>
    </row>
    <row r="7" spans="1:39" s="15" customFormat="1" ht="408.75" customHeight="1" x14ac:dyDescent="0.25">
      <c r="A7" s="48">
        <v>6</v>
      </c>
      <c r="B7" s="14" t="s">
        <v>604</v>
      </c>
      <c r="C7" s="16" t="s">
        <v>511</v>
      </c>
      <c r="D7" s="16"/>
      <c r="E7" s="16"/>
      <c r="F7" s="16" t="s">
        <v>10</v>
      </c>
      <c r="G7" s="16"/>
      <c r="H7" s="16" t="s">
        <v>496</v>
      </c>
      <c r="I7" s="16" t="s">
        <v>504</v>
      </c>
      <c r="J7" s="16"/>
      <c r="K7" s="16"/>
      <c r="L7" s="16"/>
      <c r="M7" s="16"/>
      <c r="N7" s="16"/>
      <c r="O7" s="16"/>
      <c r="P7" s="16" t="s">
        <v>665</v>
      </c>
      <c r="S7" s="16" t="s">
        <v>512</v>
      </c>
      <c r="T7" s="16" t="s">
        <v>515</v>
      </c>
      <c r="U7" s="16" t="s">
        <v>516</v>
      </c>
      <c r="V7" s="16"/>
      <c r="Z7" s="15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S1,S7,CHAR(10), T1,T7,CHAR(10), U1,U7,CHAR(10), V1,V7,CHAR(10), W1,W7,CHAR(10), X1,X7,CHAR(10), Y1,Y7,CHAR(10), )</f>
        <v xml:space="preserve">Воспроизводимая частота:100 Гц - 20 кГц
АЧХ:
Напряжение:
Сопротивление:8 Ом
Отношение сигнал/шум:
Номинальная мощность:6 Вт
Максимальная мощность:10 Вт
Выходная мощность:
Мощность на 100 В:
Мощность:
Потребляемая мощность:
Количество зон:
Динамик:
Динамик С.Ч.:5.0”
Динамик В.Ч.:
Поддержка USB:
Чувствительность:92 дБ (1 Вт / 1 м)
Размеры:Ø185x63 мм
Вес:0,70 кг
Максимальное звуковое давление:
Охлаждение
Защита
Подключение
</v>
      </c>
      <c r="AA7" s="15">
        <v>990</v>
      </c>
      <c r="AB7" s="140" t="s">
        <v>1827</v>
      </c>
      <c r="AC7" s="2" t="str">
        <f t="shared" si="0"/>
        <v xml:space="preserve">MCFC-6W Селекторная акустическая система </v>
      </c>
      <c r="AD7" s="2" t="str">
        <f t="shared" si="1"/>
        <v xml:space="preserve">MCFC-6W Селекторная акустическая система </v>
      </c>
      <c r="AE7" s="2" t="s">
        <v>1840</v>
      </c>
      <c r="AG7" s="2" t="s">
        <v>1837</v>
      </c>
      <c r="AH7" s="143" t="s">
        <v>1841</v>
      </c>
      <c r="AI7" s="143" t="s">
        <v>1842</v>
      </c>
      <c r="AJ7" s="143" t="s">
        <v>1843</v>
      </c>
      <c r="AK7" s="143" t="s">
        <v>1844</v>
      </c>
      <c r="AL7" s="2" t="s">
        <v>1837</v>
      </c>
      <c r="AM7" s="2" t="s">
        <v>1837</v>
      </c>
    </row>
    <row r="8" spans="1:39" s="15" customFormat="1" ht="408.75" customHeight="1" x14ac:dyDescent="0.25">
      <c r="A8" s="48">
        <v>7</v>
      </c>
      <c r="B8" s="14" t="s">
        <v>605</v>
      </c>
      <c r="D8" s="1" t="s">
        <v>517</v>
      </c>
      <c r="E8" s="1"/>
      <c r="G8" s="1" t="s">
        <v>518</v>
      </c>
      <c r="J8" s="1" t="s">
        <v>45</v>
      </c>
      <c r="K8" s="1"/>
      <c r="L8" s="1"/>
      <c r="M8" s="1"/>
      <c r="N8" s="1"/>
      <c r="O8" s="1"/>
      <c r="R8" s="1" t="s">
        <v>520</v>
      </c>
      <c r="T8" s="1" t="s">
        <v>515</v>
      </c>
      <c r="U8" s="1" t="s">
        <v>516</v>
      </c>
      <c r="V8" s="1"/>
      <c r="W8" s="1" t="s">
        <v>581</v>
      </c>
      <c r="X8" s="1" t="s">
        <v>667</v>
      </c>
      <c r="Y8" s="1"/>
      <c r="Z8" s="1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S1,S8,CHAR(10), T1,T8,CHAR(10), U1,U8,CHAR(10), V1,V8,CHAR(10), W1,W8,CHAR(10), X1,X8,CHAR(10), Y1,Y8,CHAR(10), )</f>
        <v xml:space="preserve">Воспроизводимая частота:
АЧХ:50 Гц - 16 кГц (± 2 дБ)
Напряжение:
Сопротивление:
Отношение сигнал/шум:&gt;80 дБ
Номинальная мощность:
Максимальная мощность:
Выходная мощность:40 Вт
Мощность на 100 В:
Мощность:
Потребляемая мощность:
Количество зон:
Динамик:
Динамик С.Ч.:
Динамик В.Ч.:
Поддержка USB:8 Гб USB Drive
Чувствительность:
Размеры:Ø185x63 мм
Вес:0,70 кг
Максимальное звуковое давление:
ОхлаждениеАвтоматический вентилятор – вкл. &gt;55°С
ЗащитаВысокая температура. перегрузка и короткое замыкание
Подключение
</v>
      </c>
      <c r="AA8" s="15" t="s">
        <v>353</v>
      </c>
      <c r="AB8" s="140" t="s">
        <v>1827</v>
      </c>
      <c r="AC8" s="2" t="str">
        <f t="shared" si="0"/>
        <v xml:space="preserve">MCF USB 60A Селекторный усилитель </v>
      </c>
      <c r="AD8" s="2" t="str">
        <f t="shared" si="1"/>
        <v xml:space="preserve">MCF USB 60A Селекторный усилитель </v>
      </c>
      <c r="AE8" s="2" t="s">
        <v>1840</v>
      </c>
      <c r="AG8" s="2" t="s">
        <v>1837</v>
      </c>
      <c r="AH8" s="143" t="s">
        <v>1841</v>
      </c>
      <c r="AI8" s="143" t="s">
        <v>1842</v>
      </c>
      <c r="AJ8" s="143" t="s">
        <v>1843</v>
      </c>
      <c r="AK8" s="143" t="s">
        <v>1844</v>
      </c>
      <c r="AL8" s="2" t="s">
        <v>1837</v>
      </c>
      <c r="AM8" s="2" t="s">
        <v>1837</v>
      </c>
    </row>
    <row r="9" spans="1:39" ht="408.75" customHeight="1" x14ac:dyDescent="0.25">
      <c r="A9" s="48">
        <v>8</v>
      </c>
      <c r="B9" s="55" t="s">
        <v>521</v>
      </c>
      <c r="C9" s="55" t="s">
        <v>522</v>
      </c>
      <c r="D9" s="55"/>
      <c r="E9" s="55" t="s">
        <v>524</v>
      </c>
      <c r="G9" s="55"/>
      <c r="J9" s="55"/>
      <c r="K9" s="55" t="s">
        <v>202</v>
      </c>
      <c r="L9" s="55"/>
      <c r="M9" s="55"/>
      <c r="N9" s="55"/>
      <c r="O9" s="55"/>
      <c r="S9" s="55" t="s">
        <v>526</v>
      </c>
      <c r="T9" s="55" t="s">
        <v>527</v>
      </c>
      <c r="U9" s="55" t="s">
        <v>668</v>
      </c>
      <c r="V9" s="55"/>
      <c r="Z9" s="32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S1,S9,CHAR(10), T1,T9,CHAR(10), U1,U9,CHAR(10), V1,V9,CHAR(10), W1,W9,CHAR(10), X1,X9,CHAR(10), Y1,Y9,CHAR(10), )</f>
        <v xml:space="preserve">Воспроизводимая частота:90 Гц - 20 кГц
АЧХ:
Напряжение:100 В
Сопротивление:
Отношение сигнал/шум:
Номинальная мощность:
Максимальная мощность:
Выходная мощность:
Мощность на 100 В:50 Вт
Мощность:
Потребляемая мощность:
Количество зон:
Динамик:
Динамик С.Ч.:
Динамик В.Ч.:
Поддержка USB:
Чувствительность:102 дБ (1 Вт / 1 м)
Размеры:363x255x310 мм
Вес:3.0 кг
Максимальное звуковое давление:
Охлаждение
Защита
Подключение
</v>
      </c>
      <c r="AA9" s="32" t="s">
        <v>355</v>
      </c>
      <c r="AB9" s="140" t="s">
        <v>1827</v>
      </c>
      <c r="AC9" s="2" t="str">
        <f t="shared" si="0"/>
        <v xml:space="preserve">MCF CR 50W </v>
      </c>
      <c r="AD9" s="2" t="str">
        <f t="shared" si="1"/>
        <v xml:space="preserve">MCF CR 50W </v>
      </c>
      <c r="AE9" s="2" t="s">
        <v>1840</v>
      </c>
      <c r="AG9" s="2" t="s">
        <v>1837</v>
      </c>
      <c r="AH9" s="143" t="s">
        <v>1841</v>
      </c>
      <c r="AI9" s="143" t="s">
        <v>1842</v>
      </c>
      <c r="AJ9" s="143" t="s">
        <v>1843</v>
      </c>
      <c r="AK9" s="143" t="s">
        <v>1844</v>
      </c>
      <c r="AL9" s="2" t="s">
        <v>1837</v>
      </c>
      <c r="AM9" s="2" t="s">
        <v>1837</v>
      </c>
    </row>
    <row r="10" spans="1:39" s="15" customFormat="1" ht="408.75" customHeight="1" x14ac:dyDescent="0.25">
      <c r="A10" s="48">
        <v>9</v>
      </c>
      <c r="B10" s="14" t="s">
        <v>606</v>
      </c>
      <c r="C10" s="1" t="s">
        <v>502</v>
      </c>
      <c r="D10" s="1"/>
      <c r="E10" s="1"/>
      <c r="F10" s="1" t="s">
        <v>10</v>
      </c>
      <c r="G10" s="1"/>
      <c r="I10" s="1" t="s">
        <v>188</v>
      </c>
      <c r="J10" s="1"/>
      <c r="K10" s="1"/>
      <c r="L10" s="1" t="s">
        <v>528</v>
      </c>
      <c r="M10" s="1"/>
      <c r="N10" s="1"/>
      <c r="O10" s="1" t="s">
        <v>530</v>
      </c>
      <c r="R10" s="1"/>
      <c r="S10" s="1" t="s">
        <v>669</v>
      </c>
      <c r="T10" s="1" t="s">
        <v>532</v>
      </c>
      <c r="U10" s="1" t="s">
        <v>533</v>
      </c>
      <c r="V10" s="1" t="s">
        <v>58</v>
      </c>
      <c r="Z10" s="15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S1,S10,CHAR(10), T1,T10,CHAR(10), U1,U10,CHAR(10), V1,V10,CHAR(10), W1,W10,CHAR(10), X1,X10,CHAR(10), Y1,Y10,CHAR(10),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мощность:30 Вт
Выходная мощность:
Мощность на 100 В:
Мощность:20 Вт
Потребляемая мощность:
Количество зон:
Динамик:5”
Динамик С.Ч.:
Динамик В.Ч.:
Поддержка USB:
Чувствительность:91 дБ (2.83 Вт / 1 м)
Размеры:155x118x365 мм
Вес:2,27 кг
Максимальное звуковое давление:110 дБ
Охлаждение
Защита
Подключение
</v>
      </c>
      <c r="AA10" s="15" t="s">
        <v>672</v>
      </c>
      <c r="AB10" s="140" t="s">
        <v>1827</v>
      </c>
      <c r="AC10" s="2" t="str">
        <f t="shared" si="0"/>
        <v xml:space="preserve">MCFCF-20E Широкополосная селекторная акустическая система </v>
      </c>
      <c r="AD10" s="2" t="str">
        <f t="shared" si="1"/>
        <v xml:space="preserve">MCFCF-20E Широкополосная селекторная акустическая система </v>
      </c>
      <c r="AE10" s="2" t="s">
        <v>1840</v>
      </c>
      <c r="AG10" s="2" t="s">
        <v>1837</v>
      </c>
      <c r="AH10" s="143" t="s">
        <v>1841</v>
      </c>
      <c r="AI10" s="143" t="s">
        <v>1842</v>
      </c>
      <c r="AJ10" s="143" t="s">
        <v>1843</v>
      </c>
      <c r="AK10" s="143" t="s">
        <v>1844</v>
      </c>
      <c r="AL10" s="2" t="s">
        <v>1837</v>
      </c>
      <c r="AM10" s="2" t="s">
        <v>1837</v>
      </c>
    </row>
    <row r="11" spans="1:39" s="15" customFormat="1" ht="408.75" customHeight="1" x14ac:dyDescent="0.25">
      <c r="A11" s="48">
        <v>10</v>
      </c>
      <c r="B11" s="14" t="s">
        <v>607</v>
      </c>
      <c r="C11" s="16" t="s">
        <v>502</v>
      </c>
      <c r="D11" s="16"/>
      <c r="E11" s="16"/>
      <c r="F11" s="16" t="s">
        <v>10</v>
      </c>
      <c r="G11" s="16"/>
      <c r="I11" s="16" t="s">
        <v>158</v>
      </c>
      <c r="J11" s="16"/>
      <c r="K11" s="16"/>
      <c r="L11" s="16" t="s">
        <v>188</v>
      </c>
      <c r="M11" s="16"/>
      <c r="N11" s="16"/>
      <c r="O11" s="16" t="s">
        <v>534</v>
      </c>
      <c r="R11" s="16"/>
      <c r="S11" s="16" t="s">
        <v>669</v>
      </c>
      <c r="T11" s="16" t="s">
        <v>535</v>
      </c>
      <c r="U11" s="16" t="s">
        <v>536</v>
      </c>
      <c r="V11" s="16" t="s">
        <v>58</v>
      </c>
      <c r="Z11" s="15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S1,S11,CHAR(10), T1,T11,CHAR(10), U1,U11,CHAR(10), V1,V11,CHAR(10), W1,W11,CHAR(10), X1,X11,CHAR(10), Y1,Y11,CHAR(10),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мощность:45 Вт
Выходная мощность:
Мощность на 100 В:
Мощность:30 Вт
Потребляемая мощность:
Количество зон:
Динамик:2х5”
Динамик С.Ч.:
Динамик В.Ч.:
Поддержка USB:
Чувствительность:91 дБ (2.83 Вт / 1 м)
Размеры:155x118x495 мм
Вес:3,12 кг
Максимальное звуковое давление:110 дБ
Охлаждение
Защита
Подключение
</v>
      </c>
      <c r="AA11" s="15" t="s">
        <v>354</v>
      </c>
      <c r="AB11" s="140" t="s">
        <v>1827</v>
      </c>
      <c r="AC11" s="2" t="str">
        <f t="shared" si="0"/>
        <v xml:space="preserve">MCFCF-30E Широкополосная селекторная акустическая система </v>
      </c>
      <c r="AD11" s="2" t="str">
        <f t="shared" si="1"/>
        <v xml:space="preserve">MCFCF-30E Широкополосная селекторная акустическая система </v>
      </c>
      <c r="AE11" s="2" t="s">
        <v>1840</v>
      </c>
      <c r="AG11" s="2" t="s">
        <v>1837</v>
      </c>
      <c r="AH11" s="143" t="s">
        <v>1841</v>
      </c>
      <c r="AI11" s="143" t="s">
        <v>1842</v>
      </c>
      <c r="AJ11" s="143" t="s">
        <v>1843</v>
      </c>
      <c r="AK11" s="143" t="s">
        <v>1844</v>
      </c>
      <c r="AL11" s="2" t="s">
        <v>1837</v>
      </c>
      <c r="AM11" s="2" t="s">
        <v>1837</v>
      </c>
    </row>
    <row r="12" spans="1:39" s="15" customFormat="1" ht="408.75" customHeight="1" x14ac:dyDescent="0.25">
      <c r="A12" s="48">
        <v>11</v>
      </c>
      <c r="B12" s="1" t="s">
        <v>656</v>
      </c>
      <c r="C12" s="1" t="s">
        <v>502</v>
      </c>
      <c r="D12" s="1"/>
      <c r="E12" s="1"/>
      <c r="F12" s="1" t="s">
        <v>10</v>
      </c>
      <c r="G12" s="1"/>
      <c r="I12" s="1" t="s">
        <v>65</v>
      </c>
      <c r="J12" s="1"/>
      <c r="K12" s="1"/>
      <c r="L12" s="1" t="s">
        <v>45</v>
      </c>
      <c r="M12" s="1"/>
      <c r="N12" s="1"/>
      <c r="O12" s="1" t="s">
        <v>537</v>
      </c>
      <c r="R12" s="1"/>
      <c r="S12" s="1" t="s">
        <v>669</v>
      </c>
      <c r="T12" s="1" t="s">
        <v>538</v>
      </c>
      <c r="U12" s="1" t="s">
        <v>539</v>
      </c>
      <c r="V12" s="1" t="s">
        <v>58</v>
      </c>
      <c r="Z12" s="15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S1,S12,CHAR(10), T1,T12,CHAR(10), U1,U12,CHAR(10), V1,V12,CHAR(10), W1,W12,CHAR(10), X1,X12,CHAR(10), Y1,Y12,CHAR(10),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мощность:60 Вт
Выходная мощность:
Мощность на 100 В:
Мощность:40 Вт
Потребляемая мощность:
Количество зон:
Динамик:3х5”
Динамик С.Ч.:
Динамик В.Ч.:
Поддержка USB:
Чувствительность:91 дБ (2.83 Вт / 1 м)
Размеры:155x118x605 мм
Вес:4,13 кг
Максимальное звуковое давление:110 дБ
Охлаждение
Защита
Подключение
</v>
      </c>
      <c r="AA12" s="15" t="s">
        <v>356</v>
      </c>
      <c r="AB12" s="140" t="s">
        <v>1827</v>
      </c>
      <c r="AC12" s="2" t="str">
        <f t="shared" si="0"/>
        <v xml:space="preserve">MCFCF-40E Широкополосная селекторная акустическая система </v>
      </c>
      <c r="AD12" s="2" t="str">
        <f t="shared" si="1"/>
        <v xml:space="preserve">MCFCF-40E Широкополосная селекторная акустическая система </v>
      </c>
      <c r="AE12" s="2" t="s">
        <v>1840</v>
      </c>
      <c r="AG12" s="2" t="s">
        <v>1837</v>
      </c>
      <c r="AH12" s="143" t="s">
        <v>1841</v>
      </c>
      <c r="AI12" s="143" t="s">
        <v>1842</v>
      </c>
      <c r="AJ12" s="143" t="s">
        <v>1843</v>
      </c>
      <c r="AK12" s="143" t="s">
        <v>1844</v>
      </c>
      <c r="AL12" s="2" t="s">
        <v>1837</v>
      </c>
      <c r="AM12" s="2" t="s">
        <v>1837</v>
      </c>
    </row>
    <row r="13" spans="1:39" s="15" customFormat="1" ht="408.75" customHeight="1" x14ac:dyDescent="0.25">
      <c r="A13" s="48">
        <v>12</v>
      </c>
      <c r="B13" s="14" t="s">
        <v>608</v>
      </c>
      <c r="C13" s="1" t="s">
        <v>502</v>
      </c>
      <c r="D13" s="1"/>
      <c r="E13" s="1"/>
      <c r="F13" s="1" t="s">
        <v>10</v>
      </c>
      <c r="G13" s="1"/>
      <c r="I13" s="1" t="s">
        <v>206</v>
      </c>
      <c r="J13" s="1"/>
      <c r="K13" s="1"/>
      <c r="L13" s="1" t="s">
        <v>202</v>
      </c>
      <c r="M13" s="1"/>
      <c r="N13" s="1"/>
      <c r="O13" s="1" t="s">
        <v>540</v>
      </c>
      <c r="R13" s="1"/>
      <c r="S13" s="1" t="s">
        <v>669</v>
      </c>
      <c r="T13" s="1" t="s">
        <v>541</v>
      </c>
      <c r="U13" s="1" t="s">
        <v>542</v>
      </c>
      <c r="V13" s="1" t="s">
        <v>58</v>
      </c>
      <c r="Z13" s="15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S1,S13,CHAR(10), T1,T13,CHAR(10), U1,U13,CHAR(10), V1,V13,CHAR(10), W1,W13,CHAR(10), X1,X13,CHAR(10), Y1,Y13,CHAR(10),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мощность:75 Вт
Выходная мощность:
Мощность на 100 В:
Мощность:50 Вт
Потребляемая мощность:
Количество зон:
Динамик:4х5”
Динамик С.Ч.:
Динамик В.Ч.:
Поддержка USB:
Чувствительность:91 дБ (2.83 Вт / 1 м)
Размеры:155x118x735 мм
Вес:5,07 кг
Максимальное звуковое давление:110 дБ
Охлаждение
Защита
Подключение
</v>
      </c>
      <c r="AA13" s="15" t="s">
        <v>358</v>
      </c>
      <c r="AB13" s="140" t="s">
        <v>1827</v>
      </c>
      <c r="AC13" s="2" t="str">
        <f t="shared" si="0"/>
        <v xml:space="preserve">MCFCF-50E Широкополосная селекторная акустическая система </v>
      </c>
      <c r="AD13" s="2" t="str">
        <f t="shared" si="1"/>
        <v xml:space="preserve">MCFCF-50E Широкополосная селекторная акустическая система </v>
      </c>
      <c r="AE13" s="2" t="s">
        <v>1840</v>
      </c>
      <c r="AG13" s="2" t="s">
        <v>1837</v>
      </c>
      <c r="AH13" s="143" t="s">
        <v>1841</v>
      </c>
      <c r="AI13" s="143" t="s">
        <v>1842</v>
      </c>
      <c r="AJ13" s="143" t="s">
        <v>1843</v>
      </c>
      <c r="AK13" s="143" t="s">
        <v>1844</v>
      </c>
      <c r="AL13" s="2" t="s">
        <v>1837</v>
      </c>
      <c r="AM13" s="2" t="s">
        <v>1837</v>
      </c>
    </row>
    <row r="14" spans="1:39" s="15" customFormat="1" ht="408.75" customHeight="1" x14ac:dyDescent="0.25">
      <c r="A14" s="48">
        <v>13</v>
      </c>
      <c r="B14" s="14" t="s">
        <v>609</v>
      </c>
      <c r="C14" s="1" t="s">
        <v>543</v>
      </c>
      <c r="D14" s="1"/>
      <c r="E14" s="1"/>
      <c r="F14" s="1" t="s">
        <v>10</v>
      </c>
      <c r="G14" s="1"/>
      <c r="I14" s="1" t="s">
        <v>188</v>
      </c>
      <c r="J14" s="1"/>
      <c r="K14" s="1"/>
      <c r="L14" s="1" t="s">
        <v>528</v>
      </c>
      <c r="M14" s="1"/>
      <c r="N14" s="1"/>
      <c r="O14" s="1" t="s">
        <v>544</v>
      </c>
      <c r="R14" s="1"/>
      <c r="S14" s="1" t="s">
        <v>669</v>
      </c>
      <c r="T14" s="1" t="s">
        <v>545</v>
      </c>
      <c r="U14" s="1" t="s">
        <v>533</v>
      </c>
      <c r="V14" s="1" t="s">
        <v>58</v>
      </c>
      <c r="Z14" s="15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S1,S14,CHAR(10), T1,T14,CHAR(10), U1,U14,CHAR(10), V1,V14,CHAR(10), W1,W14,CHAR(10), X1,X14,CHAR(10), Y1,Y14,CHAR(10), )</f>
        <v xml:space="preserve">Воспроизводимая частота:80 Гц - 16 кГц
АЧХ:
Напряжение:
Сопротивление:8 Ом
Отношение сигнал/шум:
Номинальная мощность:
Максимальная мощность:30 Вт
Выходная мощность:
Мощность на 100 В:
Мощность:20 Вт
Потребляемая мощность:
Количество зон:
Динамик:4”
Динамик С.Ч.:
Динамик В.Ч.:
Поддержка USB:
Чувствительность:91 дБ (2.83 Вт / 1 м)
Размеры:130x125x340 мм
Вес:2,27 кг
Максимальное звуковое давление:110 дБ
Охлаждение
Защита
Подключение
</v>
      </c>
      <c r="AA14" s="15" t="s">
        <v>673</v>
      </c>
      <c r="AB14" s="140" t="s">
        <v>1827</v>
      </c>
      <c r="AC14" s="2" t="str">
        <f t="shared" si="0"/>
        <v xml:space="preserve">MCFCF-20J Широкополосная селекторная акустическая система </v>
      </c>
      <c r="AD14" s="2" t="str">
        <f t="shared" si="1"/>
        <v xml:space="preserve">MCFCF-20J Широкополосная селекторная акустическая система </v>
      </c>
      <c r="AE14" s="2" t="s">
        <v>1840</v>
      </c>
      <c r="AG14" s="2" t="s">
        <v>1837</v>
      </c>
      <c r="AH14" s="143" t="s">
        <v>1841</v>
      </c>
      <c r="AI14" s="143" t="s">
        <v>1842</v>
      </c>
      <c r="AJ14" s="143" t="s">
        <v>1843</v>
      </c>
      <c r="AK14" s="143" t="s">
        <v>1844</v>
      </c>
      <c r="AL14" s="2" t="s">
        <v>1837</v>
      </c>
      <c r="AM14" s="2" t="s">
        <v>1837</v>
      </c>
    </row>
    <row r="15" spans="1:39" s="15" customFormat="1" ht="408.75" customHeight="1" x14ac:dyDescent="0.25">
      <c r="A15" s="48">
        <v>14</v>
      </c>
      <c r="B15" s="14" t="s">
        <v>610</v>
      </c>
      <c r="C15" s="16" t="s">
        <v>543</v>
      </c>
      <c r="D15" s="16"/>
      <c r="E15" s="16"/>
      <c r="F15" s="26" t="s">
        <v>10</v>
      </c>
      <c r="G15" s="26"/>
      <c r="I15" s="26" t="s">
        <v>158</v>
      </c>
      <c r="J15" s="26"/>
      <c r="K15" s="26"/>
      <c r="L15" s="26" t="s">
        <v>188</v>
      </c>
      <c r="M15" s="26"/>
      <c r="N15" s="26"/>
      <c r="O15" s="26" t="s">
        <v>546</v>
      </c>
      <c r="R15" s="26"/>
      <c r="S15" s="26" t="s">
        <v>669</v>
      </c>
      <c r="T15" s="26" t="s">
        <v>547</v>
      </c>
      <c r="U15" s="26" t="s">
        <v>536</v>
      </c>
      <c r="V15" s="26" t="s">
        <v>58</v>
      </c>
      <c r="Z15" s="15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S1,S15,CHAR(10), T1,T15,CHAR(10), U1,U15,CHAR(10), V1,V15,CHAR(10), W1,W15,CHAR(10), X1,X15,CHAR(10), Y1,Y15,CHAR(10), )</f>
        <v xml:space="preserve">Воспроизводимая частота:80 Гц - 16 кГц
АЧХ:
Напряжение:
Сопротивление:8 Ом
Отношение сигнал/шум:
Номинальная мощность:
Максимальная мощность:45 Вт
Выходная мощность:
Мощность на 100 В:
Мощность:30 Вт
Потребляемая мощность:
Количество зон:
Динамик:2х4”
Динамик С.Ч.:
Динамик В.Ч.:
Поддержка USB:
Чувствительность:91 дБ (2.83 Вт / 1 м)
Размеры:130x125x460 мм
Вес:3,12 кг
Максимальное звуковое давление:110 дБ
Охлаждение
Защита
Подключение
</v>
      </c>
      <c r="AA15" s="15" t="s">
        <v>672</v>
      </c>
      <c r="AB15" s="140" t="s">
        <v>1827</v>
      </c>
      <c r="AC15" s="2" t="str">
        <f t="shared" si="0"/>
        <v xml:space="preserve">MCFCF-30J Широкополосная селекторная акустическая система </v>
      </c>
      <c r="AD15" s="2" t="str">
        <f t="shared" si="1"/>
        <v xml:space="preserve">MCFCF-30J Широкополосная селекторная акустическая система </v>
      </c>
      <c r="AE15" s="2" t="s">
        <v>1840</v>
      </c>
      <c r="AG15" s="2" t="s">
        <v>1837</v>
      </c>
      <c r="AH15" s="143" t="s">
        <v>1841</v>
      </c>
      <c r="AI15" s="143" t="s">
        <v>1842</v>
      </c>
      <c r="AJ15" s="143" t="s">
        <v>1843</v>
      </c>
      <c r="AK15" s="143" t="s">
        <v>1844</v>
      </c>
      <c r="AL15" s="2" t="s">
        <v>1837</v>
      </c>
      <c r="AM15" s="2" t="s">
        <v>1837</v>
      </c>
    </row>
    <row r="16" spans="1:39" s="15" customFormat="1" ht="408.75" customHeight="1" x14ac:dyDescent="0.25">
      <c r="A16" s="48">
        <v>15</v>
      </c>
      <c r="B16" s="14" t="s">
        <v>611</v>
      </c>
      <c r="C16" s="1" t="s">
        <v>543</v>
      </c>
      <c r="D16" s="1"/>
      <c r="E16" s="1"/>
      <c r="F16" s="1" t="s">
        <v>10</v>
      </c>
      <c r="G16" s="1"/>
      <c r="I16" s="1" t="s">
        <v>65</v>
      </c>
      <c r="J16" s="1"/>
      <c r="K16" s="1"/>
      <c r="L16" s="1" t="s">
        <v>45</v>
      </c>
      <c r="M16" s="1"/>
      <c r="N16" s="1"/>
      <c r="O16" s="1" t="s">
        <v>548</v>
      </c>
      <c r="R16" s="1"/>
      <c r="S16" s="1" t="s">
        <v>669</v>
      </c>
      <c r="T16" s="1" t="s">
        <v>549</v>
      </c>
      <c r="U16" s="1" t="s">
        <v>539</v>
      </c>
      <c r="V16" s="1" t="s">
        <v>58</v>
      </c>
      <c r="Z16" s="15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S1,S16,CHAR(10), T1,T16,CHAR(10), U1,U16,CHAR(10), V1,V16,CHAR(10), W1,W16,CHAR(10), X1,X16,CHAR(10), Y1,Y16,CHAR(10), )</f>
        <v xml:space="preserve">Воспроизводимая частота:80 Гц - 16 кГц
АЧХ:
Напряжение:
Сопротивление:8 Ом
Отношение сигнал/шум:
Номинальная мощность:
Максимальная мощность:60 Вт
Выходная мощность:
Мощность на 100 В:
Мощность:40 Вт
Потребляемая мощность:
Количество зон:
Динамик:3х4”
Динамик С.Ч.:
Динамик В.Ч.:
Поддержка USB:
Чувствительность:91 дБ (2.83 Вт / 1 м)
Размеры:130x125x580 мм
Вес:4,13 кг
Максимальное звуковое давление:110 дБ
Охлаждение
Защита
Подключение
</v>
      </c>
      <c r="AA16" s="15" t="s">
        <v>354</v>
      </c>
      <c r="AB16" s="140" t="s">
        <v>1827</v>
      </c>
      <c r="AC16" s="2" t="str">
        <f t="shared" si="0"/>
        <v xml:space="preserve">MCFCF-40J Широкополосная селекторная акустическая система </v>
      </c>
      <c r="AD16" s="2" t="str">
        <f t="shared" si="1"/>
        <v xml:space="preserve">MCFCF-40J Широкополосная селекторная акустическая система </v>
      </c>
      <c r="AE16" s="2" t="s">
        <v>1840</v>
      </c>
      <c r="AG16" s="2" t="s">
        <v>1837</v>
      </c>
      <c r="AH16" s="143" t="s">
        <v>1841</v>
      </c>
      <c r="AI16" s="143" t="s">
        <v>1842</v>
      </c>
      <c r="AJ16" s="143" t="s">
        <v>1843</v>
      </c>
      <c r="AK16" s="143" t="s">
        <v>1844</v>
      </c>
      <c r="AL16" s="2" t="s">
        <v>1837</v>
      </c>
      <c r="AM16" s="2" t="s">
        <v>1837</v>
      </c>
    </row>
    <row r="17" spans="1:39" ht="408.75" customHeight="1" x14ac:dyDescent="0.25">
      <c r="A17" s="56">
        <v>16</v>
      </c>
      <c r="B17" s="30" t="s">
        <v>612</v>
      </c>
      <c r="C17" s="55" t="s">
        <v>543</v>
      </c>
      <c r="D17" s="55"/>
      <c r="E17" s="55"/>
      <c r="F17" s="55" t="s">
        <v>10</v>
      </c>
      <c r="G17" s="55"/>
      <c r="I17" s="55" t="s">
        <v>206</v>
      </c>
      <c r="J17" s="55"/>
      <c r="K17" s="55"/>
      <c r="L17" s="55" t="s">
        <v>202</v>
      </c>
      <c r="M17" s="55"/>
      <c r="N17" s="55"/>
      <c r="O17" s="55" t="s">
        <v>550</v>
      </c>
      <c r="R17" s="55"/>
      <c r="S17" s="55" t="s">
        <v>669</v>
      </c>
      <c r="T17" s="55" t="s">
        <v>551</v>
      </c>
      <c r="U17" s="55" t="s">
        <v>542</v>
      </c>
      <c r="V17" s="55" t="s">
        <v>58</v>
      </c>
      <c r="Z17" s="32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S1,S17,CHAR(10), T1,T17,CHAR(10), U1,U17,CHAR(10), V1,V17,CHAR(10), W1,W17,CHAR(10), X1,X17,CHAR(10), Y1,Y17,CHAR(10), )</f>
        <v xml:space="preserve">Воспроизводимая частота:80 Гц - 16 кГц
АЧХ:
Напряжение:
Сопротивление:8 Ом
Отношение сигнал/шум:
Номинальная мощность:
Максимальная мощность:75 Вт
Выходная мощность:
Мощность на 100 В:
Мощность:50 Вт
Потребляемая мощность:
Количество зон:
Динамик:4х4”
Динамик С.Ч.:
Динамик В.Ч.:
Поддержка USB:
Чувствительность:91 дБ (2.83 Вт / 1 м)
Размеры:130x125x700 мм
Вес:5,07 кг
Максимальное звуковое давление:110 дБ
Охлаждение
Защита
Подключение
</v>
      </c>
      <c r="AA17" s="32" t="s">
        <v>356</v>
      </c>
      <c r="AB17" s="140" t="s">
        <v>1827</v>
      </c>
      <c r="AC17" s="2" t="str">
        <f t="shared" si="0"/>
        <v xml:space="preserve">MCFCF-50J Широкополосная селекторная акустическая система </v>
      </c>
      <c r="AD17" s="2" t="str">
        <f t="shared" si="1"/>
        <v xml:space="preserve">MCFCF-50J Широкополосная селекторная акустическая система </v>
      </c>
      <c r="AE17" s="2" t="s">
        <v>1840</v>
      </c>
      <c r="AG17" s="2" t="s">
        <v>1837</v>
      </c>
      <c r="AH17" s="143" t="s">
        <v>1841</v>
      </c>
      <c r="AI17" s="143" t="s">
        <v>1842</v>
      </c>
      <c r="AJ17" s="143" t="s">
        <v>1843</v>
      </c>
      <c r="AK17" s="143" t="s">
        <v>1844</v>
      </c>
      <c r="AL17" s="2" t="s">
        <v>1837</v>
      </c>
      <c r="AM17" s="2" t="s">
        <v>1837</v>
      </c>
    </row>
    <row r="18" spans="1:39" s="15" customFormat="1" ht="408.75" customHeight="1" x14ac:dyDescent="0.25">
      <c r="A18" s="48">
        <v>17</v>
      </c>
      <c r="B18" s="14" t="s">
        <v>613</v>
      </c>
      <c r="C18" s="1" t="s">
        <v>502</v>
      </c>
      <c r="D18" s="1"/>
      <c r="E18" s="1"/>
      <c r="F18" s="1" t="s">
        <v>10</v>
      </c>
      <c r="G18" s="1"/>
      <c r="I18" s="1" t="s">
        <v>65</v>
      </c>
      <c r="J18" s="1"/>
      <c r="K18" s="1"/>
      <c r="L18" s="1" t="s">
        <v>45</v>
      </c>
      <c r="M18" s="1"/>
      <c r="N18" s="1"/>
      <c r="O18" s="1" t="s">
        <v>552</v>
      </c>
      <c r="R18" s="1"/>
      <c r="S18" s="1" t="s">
        <v>669</v>
      </c>
      <c r="T18" s="1" t="s">
        <v>553</v>
      </c>
      <c r="U18" s="1" t="s">
        <v>554</v>
      </c>
      <c r="V18" s="1" t="s">
        <v>58</v>
      </c>
      <c r="Z18" s="15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S1,S18,CHAR(10), T1,T18,CHAR(10), U1,U18,CHAR(10), V1,V18,CHAR(10), W1,W18,CHAR(10), X1,X18,CHAR(10), Y1,Y18,CHAR(10),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мощность:60 Вт
Выходная мощность:
Мощность на 100 В:
Мощность:40 Вт
Потребляемая мощность:
Количество зон:
Динамик:6”
Динамик С.Ч.:
Динамик В.Ч.:
Поддержка USB:
Чувствительность:91 дБ (2.83 Вт / 1 м)
Размеры:225x120x500 мм
Вес:2,80 кг
Максимальное звуковое давление:110 дБ
Охлаждение
Защита
Подключение
</v>
      </c>
      <c r="AA18" s="15" t="s">
        <v>358</v>
      </c>
      <c r="AB18" s="140" t="s">
        <v>1827</v>
      </c>
      <c r="AC18" s="2" t="str">
        <f t="shared" si="0"/>
        <v xml:space="preserve">MCFCF-40F Широкополосная селекторная акустическая система </v>
      </c>
      <c r="AD18" s="2" t="str">
        <f t="shared" si="1"/>
        <v xml:space="preserve">MCFCF-40F Широкополосная селекторная акустическая система </v>
      </c>
      <c r="AE18" s="2" t="s">
        <v>1840</v>
      </c>
      <c r="AG18" s="2" t="s">
        <v>1837</v>
      </c>
      <c r="AH18" s="143" t="s">
        <v>1841</v>
      </c>
      <c r="AI18" s="143" t="s">
        <v>1842</v>
      </c>
      <c r="AJ18" s="143" t="s">
        <v>1843</v>
      </c>
      <c r="AK18" s="143" t="s">
        <v>1844</v>
      </c>
      <c r="AL18" s="2" t="s">
        <v>1837</v>
      </c>
      <c r="AM18" s="2" t="s">
        <v>1837</v>
      </c>
    </row>
    <row r="19" spans="1:39" ht="408.75" customHeight="1" x14ac:dyDescent="0.25">
      <c r="A19" s="56">
        <v>18</v>
      </c>
      <c r="B19" s="30" t="s">
        <v>614</v>
      </c>
      <c r="C19" s="26" t="s">
        <v>502</v>
      </c>
      <c r="D19" s="26"/>
      <c r="E19" s="26"/>
      <c r="F19" s="26" t="s">
        <v>10</v>
      </c>
      <c r="G19" s="26"/>
      <c r="I19" s="26" t="s">
        <v>555</v>
      </c>
      <c r="J19" s="26"/>
      <c r="K19" s="26"/>
      <c r="L19" s="26" t="s">
        <v>65</v>
      </c>
      <c r="M19" s="26"/>
      <c r="N19" s="26"/>
      <c r="O19" s="26" t="s">
        <v>556</v>
      </c>
      <c r="R19" s="26"/>
      <c r="S19" s="26" t="s">
        <v>669</v>
      </c>
      <c r="T19" s="55" t="s">
        <v>557</v>
      </c>
      <c r="U19" s="55" t="s">
        <v>558</v>
      </c>
      <c r="V19" s="26" t="s">
        <v>58</v>
      </c>
      <c r="Z19" s="32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S1,S19,CHAR(10), T1,T19,CHAR(10), U1,U19,CHAR(10), V1,V19,CHAR(10), W1,W19,CHAR(10), X1,X19,CHAR(10), Y1,Y19,CHAR(10),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мощность:90 Вт
Выходная мощность:
Мощность на 100 В:
Мощность:60 Вт
Потребляемая мощность:
Количество зон:
Динамик:2х6”
Динамик С.Ч.:
Динамик В.Ч.:
Поддержка USB:
Чувствительность:91 дБ (2.83 Вт / 1 м)
Размеры:225x120x740 мм
Вес:4,00 кг
Максимальное звуковое давление:110 дБ
Охлаждение
Защита
Подключение
</v>
      </c>
      <c r="AA19" s="32" t="s">
        <v>353</v>
      </c>
      <c r="AB19" s="140" t="s">
        <v>1827</v>
      </c>
      <c r="AC19" s="2" t="str">
        <f t="shared" si="0"/>
        <v xml:space="preserve">MCFCF-60F Широкополосная селекторная акустическая система </v>
      </c>
      <c r="AD19" s="2" t="str">
        <f t="shared" si="1"/>
        <v xml:space="preserve">MCFCF-60F Широкополосная селекторная акустическая система </v>
      </c>
      <c r="AE19" s="2" t="s">
        <v>1840</v>
      </c>
      <c r="AG19" s="2" t="s">
        <v>1837</v>
      </c>
      <c r="AH19" s="143" t="s">
        <v>1841</v>
      </c>
      <c r="AI19" s="143" t="s">
        <v>1842</v>
      </c>
      <c r="AJ19" s="143" t="s">
        <v>1843</v>
      </c>
      <c r="AK19" s="143" t="s">
        <v>1844</v>
      </c>
      <c r="AL19" s="2" t="s">
        <v>1837</v>
      </c>
      <c r="AM19" s="2" t="s">
        <v>1837</v>
      </c>
    </row>
    <row r="20" spans="1:39" s="15" customFormat="1" ht="408.75" customHeight="1" x14ac:dyDescent="0.25">
      <c r="A20" s="48">
        <v>19</v>
      </c>
      <c r="B20" s="14" t="s">
        <v>615</v>
      </c>
      <c r="C20" s="1" t="s">
        <v>502</v>
      </c>
      <c r="D20" s="1"/>
      <c r="E20" s="1"/>
      <c r="F20" s="1" t="s">
        <v>10</v>
      </c>
      <c r="G20" s="1"/>
      <c r="I20" s="1" t="s">
        <v>559</v>
      </c>
      <c r="J20" s="1"/>
      <c r="K20" s="1"/>
      <c r="L20" s="1" t="s">
        <v>59</v>
      </c>
      <c r="M20" s="1"/>
      <c r="N20" s="1"/>
      <c r="O20" s="1" t="s">
        <v>560</v>
      </c>
      <c r="R20" s="1"/>
      <c r="S20" s="1" t="s">
        <v>669</v>
      </c>
      <c r="T20" s="1" t="s">
        <v>561</v>
      </c>
      <c r="U20" s="1" t="s">
        <v>562</v>
      </c>
      <c r="V20" s="1" t="s">
        <v>58</v>
      </c>
      <c r="Z20" s="15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S1,S20,CHAR(10), T1,T20,CHAR(10), U1,U20,CHAR(10), V1,V20,CHAR(10), W1,W20,CHAR(10), X1,X20,CHAR(10), Y1,Y20,CHAR(10),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мощность:120 Вт
Выходная мощность:
Мощность на 100 В:
Мощность:80 Вт
Потребляемая мощность:
Количество зон:
Динамик:3х6”
Динамик С.Ч.:
Динамик В.Ч.:
Поддержка USB:
Чувствительность:91 дБ (2.83 Вт / 1 м)
Размеры:225x120x950 мм
Вес:5,20 кг
Максимальное звуковое давление:110 дБ
Охлаждение
Защита
Подключение
</v>
      </c>
      <c r="AA20" s="15" t="s">
        <v>355</v>
      </c>
      <c r="AB20" s="140" t="s">
        <v>1827</v>
      </c>
      <c r="AC20" s="2" t="str">
        <f t="shared" si="0"/>
        <v xml:space="preserve">MCFCF-80F Широкополосная селекторная акустическая система </v>
      </c>
      <c r="AD20" s="2" t="str">
        <f t="shared" si="1"/>
        <v xml:space="preserve">MCFCF-80F Широкополосная селекторная акустическая система </v>
      </c>
      <c r="AE20" s="2" t="s">
        <v>1840</v>
      </c>
      <c r="AG20" s="2" t="s">
        <v>1837</v>
      </c>
      <c r="AH20" s="143" t="s">
        <v>1841</v>
      </c>
      <c r="AI20" s="143" t="s">
        <v>1842</v>
      </c>
      <c r="AJ20" s="143" t="s">
        <v>1843</v>
      </c>
      <c r="AK20" s="143" t="s">
        <v>1844</v>
      </c>
      <c r="AL20" s="2" t="s">
        <v>1837</v>
      </c>
      <c r="AM20" s="2" t="s">
        <v>1837</v>
      </c>
    </row>
    <row r="21" spans="1:39" ht="408.75" customHeight="1" x14ac:dyDescent="0.25">
      <c r="A21" s="56">
        <v>20</v>
      </c>
      <c r="B21" s="30" t="s">
        <v>616</v>
      </c>
      <c r="C21" s="55" t="s">
        <v>502</v>
      </c>
      <c r="D21" s="55"/>
      <c r="E21" s="55"/>
      <c r="F21" s="55" t="s">
        <v>10</v>
      </c>
      <c r="G21" s="55"/>
      <c r="I21" s="55" t="s">
        <v>563</v>
      </c>
      <c r="J21" s="55"/>
      <c r="K21" s="55"/>
      <c r="L21" s="55" t="s">
        <v>209</v>
      </c>
      <c r="M21" s="55"/>
      <c r="N21" s="55"/>
      <c r="O21" s="55" t="s">
        <v>564</v>
      </c>
      <c r="R21" s="55"/>
      <c r="S21" s="55" t="s">
        <v>669</v>
      </c>
      <c r="T21" s="55" t="s">
        <v>565</v>
      </c>
      <c r="U21" s="55" t="s">
        <v>566</v>
      </c>
      <c r="V21" s="55" t="s">
        <v>58</v>
      </c>
      <c r="Z21" s="32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S1,S21,CHAR(10), T1,T21,CHAR(10), U1,U21,CHAR(10), V1,V21,CHAR(10), W1,W21,CHAR(10), X1,X21,CHAR(10), Y1,Y21,CHAR(10),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мощность:150 Вт
Выходная мощность:
Мощность на 100 В:
Мощность:100 Вт
Потребляемая мощность:
Количество зон:
Динамик:4х6”
Динамик С.Ч.:
Динамик В.Ч.:
Поддержка USB:
Чувствительность:91 дБ (2.83 Вт / 1 м)
Размеры:225x120x1170 мм
Вес:6,40 кг
Максимальное звуковое давление:110 дБ
Охлаждение
Защита
Подключение
</v>
      </c>
      <c r="AA21" s="32" t="s">
        <v>674</v>
      </c>
      <c r="AB21" s="140" t="s">
        <v>1827</v>
      </c>
      <c r="AC21" s="2" t="str">
        <f t="shared" si="0"/>
        <v xml:space="preserve">MCFCF-100F Широкополосная селекторная акустическая система </v>
      </c>
      <c r="AD21" s="2" t="str">
        <f t="shared" si="1"/>
        <v xml:space="preserve">MCFCF-100F Широкополосная селекторная акустическая система </v>
      </c>
      <c r="AE21" s="2" t="s">
        <v>1840</v>
      </c>
      <c r="AG21" s="2" t="s">
        <v>1837</v>
      </c>
      <c r="AH21" s="143" t="s">
        <v>1841</v>
      </c>
      <c r="AI21" s="143" t="s">
        <v>1842</v>
      </c>
      <c r="AJ21" s="143" t="s">
        <v>1843</v>
      </c>
      <c r="AK21" s="143" t="s">
        <v>1844</v>
      </c>
      <c r="AL21" s="2" t="s">
        <v>1837</v>
      </c>
      <c r="AM21" s="2" t="s">
        <v>1837</v>
      </c>
    </row>
    <row r="22" spans="1:39" s="15" customFormat="1" ht="408.75" customHeight="1" x14ac:dyDescent="0.25">
      <c r="A22" s="48">
        <v>21</v>
      </c>
      <c r="B22" s="14" t="s">
        <v>617</v>
      </c>
      <c r="C22" s="1" t="s">
        <v>502</v>
      </c>
      <c r="D22" s="1"/>
      <c r="E22" s="1"/>
      <c r="F22" s="1" t="s">
        <v>10</v>
      </c>
      <c r="G22" s="1"/>
      <c r="I22" s="1" t="s">
        <v>567</v>
      </c>
      <c r="J22" s="1"/>
      <c r="K22" s="1"/>
      <c r="L22" s="1" t="s">
        <v>559</v>
      </c>
      <c r="M22" s="1"/>
      <c r="N22" s="1"/>
      <c r="O22" s="1" t="s">
        <v>568</v>
      </c>
      <c r="R22" s="1"/>
      <c r="S22" s="1" t="s">
        <v>669</v>
      </c>
      <c r="T22" s="1" t="s">
        <v>569</v>
      </c>
      <c r="U22" s="1" t="s">
        <v>570</v>
      </c>
      <c r="V22" s="1" t="s">
        <v>58</v>
      </c>
      <c r="Z22" s="15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S1,S22,CHAR(10), T1,T22,CHAR(10), U1,U22,CHAR(10), V1,V22,CHAR(10), W1,W22,CHAR(10), X1,X22,CHAR(10), Y1,Y22,CHAR(10), )</f>
        <v xml:space="preserve">Воспроизводимая частота:90 Гц - 16 кГц
АЧХ:
Напряжение:
Сопротивление:8 Ом
Отношение сигнал/шум:
Номинальная мощность:
Максимальная мощность:180 Вт
Выходная мощность:
Мощность на 100 В:
Мощность:120 Вт
Потребляемая мощность:
Количество зон:
Динамик:5х6”
Динамик С.Ч.:
Динамик В.Ч.:
Поддержка USB:
Чувствительность:91 дБ (2.83 Вт / 1 м)
Размеры:225x120x1385 мм
Вес:7,60 кг
Максимальное звуковое давление:110 дБ
Охлаждение
Защита
Подключение
</v>
      </c>
      <c r="AA22" s="15" t="s">
        <v>675</v>
      </c>
      <c r="AB22" s="140" t="s">
        <v>1827</v>
      </c>
      <c r="AC22" s="2" t="str">
        <f t="shared" si="0"/>
        <v xml:space="preserve">MCFCF-120F Широкополосная селекторная акустическая система </v>
      </c>
      <c r="AD22" s="2" t="str">
        <f t="shared" si="1"/>
        <v xml:space="preserve">MCFCF-120F Широкополосная селекторная акустическая система </v>
      </c>
      <c r="AE22" s="2" t="s">
        <v>1840</v>
      </c>
      <c r="AG22" s="2" t="s">
        <v>1837</v>
      </c>
      <c r="AH22" s="143" t="s">
        <v>1841</v>
      </c>
      <c r="AI22" s="143" t="s">
        <v>1842</v>
      </c>
      <c r="AJ22" s="143" t="s">
        <v>1843</v>
      </c>
      <c r="AK22" s="143" t="s">
        <v>1844</v>
      </c>
      <c r="AL22" s="2" t="s">
        <v>1837</v>
      </c>
      <c r="AM22" s="2" t="s">
        <v>1837</v>
      </c>
    </row>
    <row r="23" spans="1:39" ht="408.75" customHeight="1" x14ac:dyDescent="0.25">
      <c r="A23" s="56">
        <v>22</v>
      </c>
      <c r="B23" s="30" t="s">
        <v>618</v>
      </c>
      <c r="C23" s="26" t="s">
        <v>571</v>
      </c>
      <c r="D23" s="26"/>
      <c r="E23" s="26"/>
      <c r="F23" s="26" t="s">
        <v>10</v>
      </c>
      <c r="G23" s="26"/>
      <c r="I23" s="26" t="s">
        <v>209</v>
      </c>
      <c r="J23" s="26"/>
      <c r="K23" s="26"/>
      <c r="L23" s="26" t="s">
        <v>202</v>
      </c>
      <c r="M23" s="26"/>
      <c r="N23" s="26"/>
      <c r="O23" s="26" t="s">
        <v>664</v>
      </c>
      <c r="R23" s="26"/>
      <c r="S23" s="26" t="s">
        <v>670</v>
      </c>
      <c r="T23" s="26" t="s">
        <v>572</v>
      </c>
      <c r="U23" s="26" t="s">
        <v>573</v>
      </c>
      <c r="V23" s="26" t="s">
        <v>58</v>
      </c>
      <c r="Z23" s="32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S1,S23,CHAR(10), T1,T23,CHAR(10), U1,U23,CHAR(10), V1,V23,CHAR(10), W1,W23,CHAR(10), X1,X23,CHAR(10), Y1,Y23,CHAR(10), )</f>
        <v xml:space="preserve">Воспроизводимая частота:60 Гц - 20 кГц
АЧХ:
Напряжение:
Сопротивление:8 Ом
Отношение сигнал/шум:
Номинальная мощность:
Максимальная мощность:100 Вт
Выходная мощность:
Мощность на 100 В:
Мощность:50 Вт
Потребляемая мощность:
Количество зон:
Динамик:4.0”
Динамик С.Ч.:
Динамик В.Ч.:
Поддержка USB:
Чувствительность:89 дБ (2.83 Вт / 1 м)
Размеры:223x144x140 мм
Вес:1,40 кг
Максимальное звуковое давление:110 дБ
Охлаждение
Защита
Подключение
</v>
      </c>
      <c r="AA23" s="32" t="s">
        <v>353</v>
      </c>
      <c r="AB23" s="140" t="s">
        <v>1827</v>
      </c>
      <c r="AC23" s="2" t="str">
        <f t="shared" si="0"/>
        <v xml:space="preserve">MCFCF-4J Двухполосная селекторная акустическая система </v>
      </c>
      <c r="AD23" s="2" t="str">
        <f t="shared" si="1"/>
        <v xml:space="preserve">MCFCF-4J Двухполосная селекторная акустическая система </v>
      </c>
      <c r="AE23" s="2" t="s">
        <v>1840</v>
      </c>
      <c r="AG23" s="2" t="s">
        <v>1837</v>
      </c>
      <c r="AH23" s="143" t="s">
        <v>1841</v>
      </c>
      <c r="AI23" s="143" t="s">
        <v>1842</v>
      </c>
      <c r="AJ23" s="143" t="s">
        <v>1843</v>
      </c>
      <c r="AK23" s="143" t="s">
        <v>1844</v>
      </c>
      <c r="AL23" s="2" t="s">
        <v>1837</v>
      </c>
      <c r="AM23" s="2" t="s">
        <v>1837</v>
      </c>
    </row>
    <row r="24" spans="1:39" s="15" customFormat="1" ht="408.75" customHeight="1" x14ac:dyDescent="0.25">
      <c r="A24" s="48">
        <v>23</v>
      </c>
      <c r="B24" s="14" t="s">
        <v>619</v>
      </c>
      <c r="C24" s="1" t="s">
        <v>571</v>
      </c>
      <c r="D24" s="1"/>
      <c r="E24" s="1"/>
      <c r="F24" s="1" t="s">
        <v>10</v>
      </c>
      <c r="G24" s="1"/>
      <c r="I24" s="1" t="s">
        <v>575</v>
      </c>
      <c r="J24" s="1"/>
      <c r="K24" s="1"/>
      <c r="L24" s="1" t="s">
        <v>574</v>
      </c>
      <c r="M24" s="1"/>
      <c r="N24" s="1"/>
      <c r="O24" s="1" t="s">
        <v>666</v>
      </c>
      <c r="R24" s="1"/>
      <c r="S24" s="1" t="s">
        <v>670</v>
      </c>
      <c r="T24" s="1" t="s">
        <v>576</v>
      </c>
      <c r="U24" s="1" t="s">
        <v>577</v>
      </c>
      <c r="V24" s="1" t="s">
        <v>58</v>
      </c>
      <c r="Z24" s="15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S1,S24,CHAR(10), T1,T24,CHAR(10), U1,U24,CHAR(10), V1,V24,CHAR(10), W1,W24,CHAR(10), X1,X24,CHAR(10), Y1,Y24,CHAR(10), )</f>
        <v xml:space="preserve">Воспроизводимая частота:60 Гц - 20 кГц
АЧХ:
Напряжение:
Сопротивление:8 Ом
Отношение сигнал/шум:
Номинальная мощность:
Максимальная мощность:140 Вт
Выходная мощность:
Мощность на 100 В:
Мощность:70 Вт
Потребляемая мощность:
Количество зон:
Динамик:4.5”
Динамик С.Ч.:
Динамик В.Ч.:
Поддержка USB:
Чувствительность:89 дБ (2.83 Вт / 1 м)
Размеры:228x156x140 мм
Вес:1,70 кг
Максимальное звуковое давление:110 дБ
Охлаждение
Защита
Подключение
</v>
      </c>
      <c r="AA24" s="15" t="s">
        <v>676</v>
      </c>
      <c r="AB24" s="140" t="s">
        <v>1827</v>
      </c>
      <c r="AC24" s="2" t="str">
        <f t="shared" si="0"/>
        <v xml:space="preserve">MCFCF-5J Двухполосная селекторная акустическая система </v>
      </c>
      <c r="AD24" s="2" t="str">
        <f t="shared" si="1"/>
        <v xml:space="preserve">MCFCF-5J Двухполосная селекторная акустическая система </v>
      </c>
      <c r="AE24" s="2" t="s">
        <v>1840</v>
      </c>
      <c r="AG24" s="2" t="s">
        <v>1837</v>
      </c>
      <c r="AH24" s="143" t="s">
        <v>1841</v>
      </c>
      <c r="AI24" s="143" t="s">
        <v>1842</v>
      </c>
      <c r="AJ24" s="143" t="s">
        <v>1843</v>
      </c>
      <c r="AK24" s="143" t="s">
        <v>1844</v>
      </c>
      <c r="AL24" s="2" t="s">
        <v>1837</v>
      </c>
      <c r="AM24" s="2" t="s">
        <v>1837</v>
      </c>
    </row>
    <row r="25" spans="1:39" ht="408.75" customHeight="1" x14ac:dyDescent="0.25">
      <c r="A25" s="56">
        <v>24</v>
      </c>
      <c r="B25" s="30" t="s">
        <v>620</v>
      </c>
      <c r="C25" s="55" t="s">
        <v>571</v>
      </c>
      <c r="D25" s="55"/>
      <c r="E25" s="55"/>
      <c r="F25" s="55" t="s">
        <v>10</v>
      </c>
      <c r="G25" s="55"/>
      <c r="I25" s="55" t="s">
        <v>567</v>
      </c>
      <c r="J25" s="55"/>
      <c r="K25" s="55"/>
      <c r="L25" s="55" t="s">
        <v>555</v>
      </c>
      <c r="M25" s="55"/>
      <c r="N25" s="55"/>
      <c r="O25" s="55" t="s">
        <v>665</v>
      </c>
      <c r="R25" s="55"/>
      <c r="S25" s="55" t="s">
        <v>670</v>
      </c>
      <c r="T25" s="55" t="s">
        <v>578</v>
      </c>
      <c r="U25" s="55" t="s">
        <v>579</v>
      </c>
      <c r="V25" s="55" t="s">
        <v>58</v>
      </c>
      <c r="Z25" s="32" t="str">
        <f>CONCATENATE( C1,C25,CHAR(10), D1,D25,CHAR(10), E1,E25,CHAR(10), F1,F25,CHAR(10), G1,G25,CHAR(10), H1,H25,CHAR(10), I1,I25,CHAR(10), J1,J25,CHAR(10), K1,K25,CHAR(10), L1,L25,CHAR(10), M1,M25,CHAR(10), N1,N25,CHAR(10), O1,O25,CHAR(10), P1,P25,CHAR(10), Q1,Q25,CHAR(10), R1,R25,CHAR(10), S1,S25,CHAR(10), T1,T25,CHAR(10), U1,U25,CHAR(10), V1,V25,CHAR(10), W1,W25,CHAR(10), X1,X25,CHAR(10), Y1,Y25,CHAR(10), )</f>
        <v xml:space="preserve">Воспроизводимая частота:60 Гц - 20 кГц
АЧХ:
Напряжение:
Сопротивление:8 Ом
Отношение сигнал/шум:
Номинальная мощность:
Максимальная мощность:180 Вт
Выходная мощность:
Мощность на 100 В:
Мощность:90 Вт
Потребляемая мощность:
Количество зон:
Динамик:5.0”
Динамик С.Ч.:
Динамик В.Ч.:
Поддержка USB:
Чувствительность:89 дБ (2.83 Вт / 1 м)
Размеры:233x168x140 мм
Вес:2,00 кг
Максимальное звуковое давление:110 дБ
Охлаждение
Защита
Подключение
</v>
      </c>
      <c r="AA25" s="32" t="s">
        <v>357</v>
      </c>
      <c r="AB25" s="140" t="s">
        <v>1827</v>
      </c>
      <c r="AC25" s="2" t="str">
        <f t="shared" si="0"/>
        <v xml:space="preserve">MCFCF-6J Двухполосная селекторная акустическая система </v>
      </c>
      <c r="AD25" s="2" t="str">
        <f t="shared" si="1"/>
        <v xml:space="preserve">MCFCF-6J Двухполосная селекторная акустическая система </v>
      </c>
      <c r="AE25" s="2" t="s">
        <v>1840</v>
      </c>
      <c r="AG25" s="2" t="s">
        <v>1837</v>
      </c>
      <c r="AH25" s="143" t="s">
        <v>1841</v>
      </c>
      <c r="AI25" s="143" t="s">
        <v>1842</v>
      </c>
      <c r="AJ25" s="143" t="s">
        <v>1843</v>
      </c>
      <c r="AK25" s="143" t="s">
        <v>1844</v>
      </c>
      <c r="AL25" s="2" t="s">
        <v>1837</v>
      </c>
      <c r="AM25" s="2" t="s">
        <v>1837</v>
      </c>
    </row>
    <row r="26" spans="1:39" s="15" customFormat="1" ht="408.75" customHeight="1" x14ac:dyDescent="0.25">
      <c r="A26" s="48">
        <v>25</v>
      </c>
      <c r="B26" s="14" t="s">
        <v>621</v>
      </c>
      <c r="D26" s="1" t="s">
        <v>671</v>
      </c>
      <c r="E26" s="1"/>
      <c r="G26" s="1" t="s">
        <v>518</v>
      </c>
      <c r="J26" s="1" t="s">
        <v>559</v>
      </c>
      <c r="K26" s="1"/>
      <c r="L26" s="1"/>
      <c r="M26" s="1" t="s">
        <v>583</v>
      </c>
      <c r="N26" s="1" t="s">
        <v>580</v>
      </c>
      <c r="O26" s="1"/>
      <c r="R26" s="1" t="s">
        <v>520</v>
      </c>
      <c r="T26" s="1" t="s">
        <v>584</v>
      </c>
      <c r="U26" s="1" t="s">
        <v>657</v>
      </c>
      <c r="V26" s="1"/>
      <c r="W26" s="1" t="s">
        <v>581</v>
      </c>
      <c r="X26" s="1" t="s">
        <v>582</v>
      </c>
      <c r="Y26" s="1"/>
      <c r="Z26" s="1" t="str">
        <f>CONCATENATE( C1,C26,CHAR(10), D1,D26,CHAR(10), E1,E26,CHAR(10), F1,F26,CHAR(10), G1,G26,CHAR(10), H1,H26,CHAR(10), I1,I26,CHAR(10), J1,J26,CHAR(10), K1,K26,CHAR(10), L1,L26,CHAR(10), M1,M26,CHAR(10), N1,N26,CHAR(10), O1,O26,CHAR(10), P1,P26,CHAR(10), Q1,Q26,CHAR(10), R1,R26,CHAR(10), S1,S26,CHAR(10), T1,T26,CHAR(10), U1,U26,CHAR(10), V1,V26,CHAR(10), W1,W26,CHAR(10), X1,X26,CHAR(10), Y1,Y26,CHAR(10),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мощность:120 Вт
Мощность на 100 В:
Мощность:
Потребляемая мощность:230 Вт
Количество зон:Пять
Динамик:
Динамик С.Ч.:
Динамик В.Ч.:
Поддержка USB:8 Гб USB Drive
Чувствительность:
Размеры:484x385x90 мм
Вес:7.9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26" s="15" t="s">
        <v>355</v>
      </c>
      <c r="AB26" s="140" t="s">
        <v>1827</v>
      </c>
      <c r="AC26" s="2" t="str">
        <f t="shared" si="0"/>
        <v>MCF DS6120 USB Селекторный усилитель Пять</v>
      </c>
      <c r="AD26" s="2" t="str">
        <f t="shared" si="1"/>
        <v>MCF DS6120 USB Селекторный усилитель Пять</v>
      </c>
      <c r="AE26" s="2" t="s">
        <v>1840</v>
      </c>
      <c r="AG26" s="2" t="s">
        <v>1837</v>
      </c>
      <c r="AH26" s="143" t="s">
        <v>1841</v>
      </c>
      <c r="AI26" s="143" t="s">
        <v>1842</v>
      </c>
      <c r="AJ26" s="143" t="s">
        <v>1843</v>
      </c>
      <c r="AK26" s="143" t="s">
        <v>1844</v>
      </c>
      <c r="AL26" s="2" t="s">
        <v>1837</v>
      </c>
      <c r="AM26" s="2" t="s">
        <v>1837</v>
      </c>
    </row>
    <row r="27" spans="1:39" s="15" customFormat="1" ht="408.75" customHeight="1" x14ac:dyDescent="0.25">
      <c r="A27" s="48">
        <v>26</v>
      </c>
      <c r="B27" s="14" t="s">
        <v>622</v>
      </c>
      <c r="D27" s="16" t="s">
        <v>671</v>
      </c>
      <c r="E27" s="16"/>
      <c r="G27" s="16" t="s">
        <v>518</v>
      </c>
      <c r="J27" s="16" t="s">
        <v>567</v>
      </c>
      <c r="K27" s="16"/>
      <c r="L27" s="16"/>
      <c r="M27" s="16" t="s">
        <v>585</v>
      </c>
      <c r="N27" s="16" t="s">
        <v>580</v>
      </c>
      <c r="O27" s="16"/>
      <c r="R27" s="16" t="s">
        <v>520</v>
      </c>
      <c r="T27" s="16" t="s">
        <v>584</v>
      </c>
      <c r="U27" s="16" t="s">
        <v>658</v>
      </c>
      <c r="V27" s="16"/>
      <c r="W27" s="16" t="s">
        <v>581</v>
      </c>
      <c r="X27" s="16" t="s">
        <v>582</v>
      </c>
      <c r="Y27" s="16"/>
      <c r="Z27" s="16" t="str">
        <f>CONCATENATE( C1,C27,CHAR(10), D1,D27,CHAR(10), E1,E27,CHAR(10), F1,F27,CHAR(10), G1,G27,CHAR(10), H1,H27,CHAR(10), I1,I27,CHAR(10), J1,J27,CHAR(10), K1,K27,CHAR(10), L1,L27,CHAR(10), M1,M27,CHAR(10), N1,N27,CHAR(10), O1,O27,CHAR(10), P1,P27,CHAR(10), Q1,Q27,CHAR(10), R1,R27,CHAR(10), S1,S27,CHAR(10), T1,T27,CHAR(10), U1,U27,CHAR(10), V1,V27,CHAR(10), W1,W27,CHAR(10), X1,X27,CHAR(10), Y1,Y27,CHAR(10),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мощность:180 Вт
Мощность на 100 В:
Мощность:
Потребляемая мощность:290 Вт
Количество зон:Пять
Динамик:
Динамик С.Ч.:
Динамик В.Ч.:
Поддержка USB:8 Гб USB Drive
Чувствительность:
Размеры:484x385x90 мм
Вес:8.2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27" s="15" t="s">
        <v>677</v>
      </c>
      <c r="AB27" s="140" t="s">
        <v>1827</v>
      </c>
      <c r="AC27" s="2" t="str">
        <f t="shared" si="0"/>
        <v>MCF DS6180 USB Селекторный усилитель Пять</v>
      </c>
      <c r="AD27" s="2" t="str">
        <f t="shared" si="1"/>
        <v>MCF DS6180 USB Селекторный усилитель Пять</v>
      </c>
      <c r="AE27" s="2" t="s">
        <v>1840</v>
      </c>
      <c r="AG27" s="2" t="s">
        <v>1837</v>
      </c>
      <c r="AH27" s="143" t="s">
        <v>1841</v>
      </c>
      <c r="AI27" s="143" t="s">
        <v>1842</v>
      </c>
      <c r="AJ27" s="143" t="s">
        <v>1843</v>
      </c>
      <c r="AK27" s="143" t="s">
        <v>1844</v>
      </c>
      <c r="AL27" s="2" t="s">
        <v>1837</v>
      </c>
      <c r="AM27" s="2" t="s">
        <v>1837</v>
      </c>
    </row>
    <row r="28" spans="1:39" s="15" customFormat="1" ht="408.75" customHeight="1" x14ac:dyDescent="0.25">
      <c r="A28" s="48">
        <v>27</v>
      </c>
      <c r="B28" s="14" t="s">
        <v>623</v>
      </c>
      <c r="D28" s="1" t="s">
        <v>671</v>
      </c>
      <c r="E28" s="1"/>
      <c r="G28" s="1" t="s">
        <v>518</v>
      </c>
      <c r="J28" s="1" t="s">
        <v>586</v>
      </c>
      <c r="K28" s="1"/>
      <c r="L28" s="1"/>
      <c r="M28" s="1" t="s">
        <v>587</v>
      </c>
      <c r="N28" s="1" t="s">
        <v>580</v>
      </c>
      <c r="O28" s="1"/>
      <c r="R28" s="1" t="s">
        <v>520</v>
      </c>
      <c r="T28" s="1" t="s">
        <v>584</v>
      </c>
      <c r="U28" s="1" t="s">
        <v>659</v>
      </c>
      <c r="V28" s="1"/>
      <c r="W28" s="1" t="s">
        <v>581</v>
      </c>
      <c r="X28" s="1" t="s">
        <v>582</v>
      </c>
      <c r="Y28" s="1"/>
      <c r="Z28" s="1" t="str">
        <f>CONCATENATE( C1,C28,CHAR(10), D1,D28,CHAR(10), E1,E28,CHAR(10), F1,F28,CHAR(10), G1,G28,CHAR(10), H1,H28,CHAR(10), I1,I28,CHAR(10), J1,J28,CHAR(10), K1,K28,CHAR(10), L1,L28,CHAR(10), M1,M28,CHAR(10), N1,N28,CHAR(10), O1,O28,CHAR(10), P1,P28,CHAR(10), Q1,Q28,CHAR(10), R1,R28,CHAR(10), S1,S28,CHAR(10), T1,T28,CHAR(10), U1,U28,CHAR(10), V1,V28,CHAR(10), W1,W28,CHAR(10), X1,X28,CHAR(10), Y1,Y28,CHAR(10),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мощность:240 Вт
Мощность на 100 В:
Мощность:
Потребляемая мощность:350 Вт
Количество зон:Пять
Динамик:
Динамик С.Ч.:
Динамик В.Ч.:
Поддержка USB:8 Гб USB Drive
Чувствительность:
Размеры:484x385x90 мм
Вес:8.5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28" s="15" t="s">
        <v>678</v>
      </c>
      <c r="AB28" s="140" t="s">
        <v>1827</v>
      </c>
      <c r="AC28" s="2" t="str">
        <f t="shared" si="0"/>
        <v>MCF DS 6240 USB Селекторный усилитель Пять</v>
      </c>
      <c r="AD28" s="2" t="str">
        <f t="shared" si="1"/>
        <v>MCF DS 6240 USB Селекторный усилитель Пять</v>
      </c>
      <c r="AE28" s="2" t="s">
        <v>1840</v>
      </c>
      <c r="AG28" s="2" t="s">
        <v>1837</v>
      </c>
      <c r="AH28" s="143" t="s">
        <v>1841</v>
      </c>
      <c r="AI28" s="143" t="s">
        <v>1842</v>
      </c>
      <c r="AJ28" s="143" t="s">
        <v>1843</v>
      </c>
      <c r="AK28" s="143" t="s">
        <v>1844</v>
      </c>
      <c r="AL28" s="2" t="s">
        <v>1837</v>
      </c>
      <c r="AM28" s="2" t="s">
        <v>1837</v>
      </c>
    </row>
    <row r="29" spans="1:39" s="15" customFormat="1" ht="408.75" customHeight="1" x14ac:dyDescent="0.25">
      <c r="A29" s="48">
        <v>28</v>
      </c>
      <c r="B29" s="14" t="s">
        <v>624</v>
      </c>
      <c r="D29" s="1" t="s">
        <v>671</v>
      </c>
      <c r="E29" s="1"/>
      <c r="G29" s="1" t="s">
        <v>518</v>
      </c>
      <c r="J29" s="1" t="s">
        <v>588</v>
      </c>
      <c r="K29" s="1"/>
      <c r="L29" s="1"/>
      <c r="M29" s="1" t="s">
        <v>589</v>
      </c>
      <c r="N29" s="1" t="s">
        <v>580</v>
      </c>
      <c r="O29" s="1"/>
      <c r="R29" s="1" t="s">
        <v>520</v>
      </c>
      <c r="T29" s="1" t="s">
        <v>584</v>
      </c>
      <c r="U29" s="1" t="s">
        <v>660</v>
      </c>
      <c r="V29" s="1"/>
      <c r="W29" s="1" t="s">
        <v>581</v>
      </c>
      <c r="X29" s="1" t="s">
        <v>582</v>
      </c>
      <c r="Y29" s="1"/>
      <c r="Z29" s="1" t="str">
        <f>CONCATENATE( C1,C29,CHAR(10), D1,D29,CHAR(10), E1,E29,CHAR(10), F1,F29,CHAR(10), G1,G29,CHAR(10), H1,H29,CHAR(10), I1,I29,CHAR(10), J1,J29,CHAR(10), K1,K29,CHAR(10), L1,L29,CHAR(10), M1,M29,CHAR(10), N1,N29,CHAR(10), O1,O29,CHAR(10), P1,P29,CHAR(10), Q1,Q29,CHAR(10), R1,R29,CHAR(10), S1,S29,CHAR(10), T1,T29,CHAR(10), U1,U29,CHAR(10), V1,V29,CHAR(10), W1,W29,CHAR(10), X1,X29,CHAR(10), Y1,Y29,CHAR(10),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мощность:300 Вт
Мощность на 100 В:
Мощность:
Потребляемая мощность:410 Вт
Количество зон:Пять
Динамик:
Динамик С.Ч.:
Динамик В.Ч.:
Поддержка USB:8 Гб USB Drive
Чувствительность:
Размеры:484x385x90 мм
Вес:8.9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29" s="15" t="s">
        <v>679</v>
      </c>
      <c r="AB29" s="140" t="s">
        <v>1827</v>
      </c>
      <c r="AC29" s="2" t="str">
        <f t="shared" si="0"/>
        <v>MCFDS 6300 USB Селекторный усилитель Пять</v>
      </c>
      <c r="AD29" s="2" t="str">
        <f t="shared" si="1"/>
        <v>MCFDS 6300 USB Селекторный усилитель Пять</v>
      </c>
      <c r="AE29" s="2" t="s">
        <v>1840</v>
      </c>
      <c r="AG29" s="2" t="s">
        <v>1837</v>
      </c>
      <c r="AH29" s="143" t="s">
        <v>1841</v>
      </c>
      <c r="AI29" s="143" t="s">
        <v>1842</v>
      </c>
      <c r="AJ29" s="143" t="s">
        <v>1843</v>
      </c>
      <c r="AK29" s="143" t="s">
        <v>1844</v>
      </c>
      <c r="AL29" s="2" t="s">
        <v>1837</v>
      </c>
      <c r="AM29" s="2" t="s">
        <v>1837</v>
      </c>
    </row>
    <row r="30" spans="1:39" s="15" customFormat="1" ht="408.75" customHeight="1" x14ac:dyDescent="0.25">
      <c r="A30" s="48">
        <v>29</v>
      </c>
      <c r="B30" s="14" t="s">
        <v>625</v>
      </c>
      <c r="D30" s="1" t="s">
        <v>671</v>
      </c>
      <c r="E30" s="1"/>
      <c r="G30" s="1" t="s">
        <v>518</v>
      </c>
      <c r="J30" s="1" t="s">
        <v>590</v>
      </c>
      <c r="K30" s="1"/>
      <c r="L30" s="1"/>
      <c r="M30" s="1" t="s">
        <v>591</v>
      </c>
      <c r="N30" s="1" t="s">
        <v>580</v>
      </c>
      <c r="O30" s="1"/>
      <c r="R30" s="1" t="s">
        <v>520</v>
      </c>
      <c r="T30" s="1" t="s">
        <v>584</v>
      </c>
      <c r="U30" s="1" t="s">
        <v>661</v>
      </c>
      <c r="V30" s="1"/>
      <c r="W30" s="1" t="s">
        <v>581</v>
      </c>
      <c r="X30" s="1" t="s">
        <v>582</v>
      </c>
      <c r="Y30" s="1"/>
      <c r="Z30" s="1" t="str">
        <f>CONCATENATE( C1,C30,CHAR(10), D1,D30,CHAR(10), E1,E30,CHAR(10), F1,F30,CHAR(10), G1,G30,CHAR(10), H1,H30,CHAR(10), I1,I30,CHAR(10), J1,J30,CHAR(10), K1,K30,CHAR(10), L1,L30,CHAR(10), M1,M30,CHAR(10), N1,N30,CHAR(10), O1,O30,CHAR(10), P1,P30,CHAR(10), Q1,Q30,CHAR(10), R1,R30,CHAR(10), S1,S30,CHAR(10), T1,T30,CHAR(10), U1,U30,CHAR(10), V1,V30,CHAR(10), W1,W30,CHAR(10), X1,X30,CHAR(10), Y1,Y30,CHAR(10),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мощность:360 Вт
Мощность на 100 В:
Мощность:
Потребляемая мощность:470 Вт
Количество зон:Пять
Динамик:
Динамик С.Ч.:
Динамик В.Ч.:
Поддержка USB:8 Гб USB Drive
Чувствительность:
Размеры:484x385x90 мм
Вес:9.3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0" s="15" t="s">
        <v>360</v>
      </c>
      <c r="AB30" s="140" t="s">
        <v>1827</v>
      </c>
      <c r="AC30" s="2" t="str">
        <f t="shared" si="0"/>
        <v>MCF DS 6360 USB Селекторный усилитель Пять</v>
      </c>
      <c r="AD30" s="2" t="str">
        <f t="shared" si="1"/>
        <v>MCF DS 6360 USB Селекторный усилитель Пять</v>
      </c>
      <c r="AE30" s="2" t="s">
        <v>1840</v>
      </c>
      <c r="AG30" s="2" t="s">
        <v>1837</v>
      </c>
      <c r="AH30" s="143" t="s">
        <v>1841</v>
      </c>
      <c r="AI30" s="143" t="s">
        <v>1842</v>
      </c>
      <c r="AJ30" s="143" t="s">
        <v>1843</v>
      </c>
      <c r="AK30" s="143" t="s">
        <v>1844</v>
      </c>
      <c r="AL30" s="2" t="s">
        <v>1837</v>
      </c>
      <c r="AM30" s="2" t="s">
        <v>1837</v>
      </c>
    </row>
    <row r="31" spans="1:39" s="15" customFormat="1" ht="408.75" customHeight="1" x14ac:dyDescent="0.25">
      <c r="A31" s="48">
        <v>30</v>
      </c>
      <c r="B31" s="14" t="s">
        <v>626</v>
      </c>
      <c r="D31" s="16" t="s">
        <v>671</v>
      </c>
      <c r="E31" s="16"/>
      <c r="G31" s="16" t="s">
        <v>518</v>
      </c>
      <c r="J31" s="16" t="s">
        <v>592</v>
      </c>
      <c r="K31" s="16"/>
      <c r="L31" s="16"/>
      <c r="M31" s="16" t="s">
        <v>593</v>
      </c>
      <c r="N31" s="16" t="s">
        <v>580</v>
      </c>
      <c r="O31" s="16"/>
      <c r="R31" s="16" t="s">
        <v>520</v>
      </c>
      <c r="T31" s="16" t="s">
        <v>584</v>
      </c>
      <c r="U31" s="16" t="s">
        <v>662</v>
      </c>
      <c r="V31" s="16"/>
      <c r="W31" s="16" t="s">
        <v>581</v>
      </c>
      <c r="X31" s="16" t="s">
        <v>582</v>
      </c>
      <c r="Y31" s="16"/>
      <c r="Z31" s="16" t="str">
        <f>CONCATENATE( C1,C31,CHAR(10), D1,D31,CHAR(10), E1,E31,CHAR(10), F1,F31,CHAR(10), G1,G31,CHAR(10), H1,H31,CHAR(10), I1,I31,CHAR(10), J1,J31,CHAR(10), K1,K31,CHAR(10), L1,L31,CHAR(10), M1,M31,CHAR(10), N1,N31,CHAR(10), O1,O31,CHAR(10), P1,P31,CHAR(10), Q1,Q31,CHAR(10), R1,R31,CHAR(10), S1,S31,CHAR(10), T1,T31,CHAR(10), U1,U31,CHAR(10), V1,V31,CHAR(10), W1,W31,CHAR(10), X1,X31,CHAR(10), Y1,Y31,CHAR(10),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мощность:480 Вт
Мощность на 100 В:
Мощность:
Потребляемая мощность:590 Вт
Количество зон:Пять
Динамик:
Динамик С.Ч.:
Динамик В.Ч.:
Поддержка USB:8 Гб USB Drive
Чувствительность:
Размеры:484x385x90 мм
Вес:9.8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1" s="15" t="s">
        <v>680</v>
      </c>
      <c r="AB31" s="140" t="s">
        <v>1827</v>
      </c>
      <c r="AC31" s="2" t="str">
        <f t="shared" si="0"/>
        <v>MCF DS6480 USB Селекторный усилитель Пять</v>
      </c>
      <c r="AD31" s="2" t="str">
        <f t="shared" si="1"/>
        <v>MCF DS6480 USB Селекторный усилитель Пять</v>
      </c>
      <c r="AE31" s="2" t="s">
        <v>1840</v>
      </c>
      <c r="AG31" s="2" t="s">
        <v>1837</v>
      </c>
      <c r="AH31" s="143" t="s">
        <v>1841</v>
      </c>
      <c r="AI31" s="143" t="s">
        <v>1842</v>
      </c>
      <c r="AJ31" s="143" t="s">
        <v>1843</v>
      </c>
      <c r="AK31" s="143" t="s">
        <v>1844</v>
      </c>
      <c r="AL31" s="2" t="s">
        <v>1837</v>
      </c>
      <c r="AM31" s="2" t="s">
        <v>1837</v>
      </c>
    </row>
    <row r="32" spans="1:39" s="15" customFormat="1" ht="408.75" customHeight="1" x14ac:dyDescent="0.25">
      <c r="A32" s="48">
        <v>31</v>
      </c>
      <c r="B32" s="14" t="s">
        <v>627</v>
      </c>
      <c r="D32" s="16" t="s">
        <v>671</v>
      </c>
      <c r="E32" s="16"/>
      <c r="G32" s="16" t="s">
        <v>518</v>
      </c>
      <c r="J32" s="16" t="s">
        <v>594</v>
      </c>
      <c r="K32" s="16"/>
      <c r="L32" s="16"/>
      <c r="M32" s="16" t="s">
        <v>595</v>
      </c>
      <c r="N32" s="16" t="s">
        <v>580</v>
      </c>
      <c r="O32" s="16"/>
      <c r="R32" s="16" t="s">
        <v>520</v>
      </c>
      <c r="T32" s="16" t="s">
        <v>584</v>
      </c>
      <c r="U32" s="16" t="s">
        <v>663</v>
      </c>
      <c r="V32" s="16"/>
      <c r="W32" s="16" t="s">
        <v>581</v>
      </c>
      <c r="X32" s="16" t="s">
        <v>582</v>
      </c>
      <c r="Y32" s="16"/>
      <c r="Z32" s="16" t="str">
        <f>CONCATENATE( C1,C32,CHAR(10), D1,D32,CHAR(10), E1,E32,CHAR(10), F1,F32,CHAR(10), G1,G32,CHAR(10), H1,H32,CHAR(10), I1,I32,CHAR(10), J1,J32,CHAR(10), K1,K32,CHAR(10), L1,L32,CHAR(10), M1,M32,CHAR(10), N1,N32,CHAR(10), O1,O32,CHAR(10), P1,P32,CHAR(10), Q1,Q32,CHAR(10), R1,R32,CHAR(10), S1,S32,CHAR(10), T1,T32,CHAR(10), U1,U32,CHAR(10), V1,V32,CHAR(10), W1,W32,CHAR(10), X1,X32,CHAR(10), Y1,Y32,CHAR(10),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мощность:650 Вт
Мощность на 100 В:
Мощность:
Потребляемая мощность:760 Вт
Количество зон:Пять
Динамик:
Динамик С.Ч.:
Динамик В.Ч.:
Поддержка USB:8 Гб USB Drive
Чувствительность:
Размеры:484x385x90 мм
Вес:10.2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2" s="15" t="s">
        <v>488</v>
      </c>
      <c r="AB32" s="140" t="s">
        <v>1827</v>
      </c>
      <c r="AC32" s="2" t="str">
        <f t="shared" si="0"/>
        <v>MCF DS 6650 USB Селекторный усилитель Пять</v>
      </c>
      <c r="AD32" s="2" t="str">
        <f t="shared" si="1"/>
        <v>MCF DS 6650 USB Селекторный усилитель Пять</v>
      </c>
      <c r="AE32" s="2" t="s">
        <v>1840</v>
      </c>
      <c r="AG32" s="2" t="s">
        <v>1837</v>
      </c>
      <c r="AH32" s="143" t="s">
        <v>1841</v>
      </c>
      <c r="AI32" s="143" t="s">
        <v>1842</v>
      </c>
      <c r="AJ32" s="143" t="s">
        <v>1843</v>
      </c>
      <c r="AK32" s="143" t="s">
        <v>1844</v>
      </c>
      <c r="AL32" s="2" t="s">
        <v>1837</v>
      </c>
      <c r="AM32" s="2" t="s">
        <v>1837</v>
      </c>
    </row>
    <row r="33" spans="1:39" s="15" customFormat="1" ht="408.75" customHeight="1" x14ac:dyDescent="0.25">
      <c r="A33" s="48">
        <v>32</v>
      </c>
      <c r="B33" s="14" t="s">
        <v>628</v>
      </c>
      <c r="D33" s="16" t="s">
        <v>671</v>
      </c>
      <c r="E33" s="16"/>
      <c r="G33" s="16" t="s">
        <v>518</v>
      </c>
      <c r="J33" s="16" t="s">
        <v>559</v>
      </c>
      <c r="K33" s="16"/>
      <c r="L33" s="16"/>
      <c r="M33" s="16" t="s">
        <v>583</v>
      </c>
      <c r="N33" s="16" t="s">
        <v>580</v>
      </c>
      <c r="O33" s="16"/>
      <c r="R33" s="16" t="s">
        <v>520</v>
      </c>
      <c r="T33" s="16" t="s">
        <v>584</v>
      </c>
      <c r="U33" s="16" t="s">
        <v>657</v>
      </c>
      <c r="V33" s="16"/>
      <c r="W33" s="16" t="s">
        <v>581</v>
      </c>
      <c r="X33" s="16" t="s">
        <v>582</v>
      </c>
      <c r="Y33" s="16"/>
      <c r="Z33" s="16" t="str">
        <f>CONCATENATE( C1,C33,CHAR(10), D1,D33,CHAR(10), E1,E33,CHAR(10), F1,F33,CHAR(10), G1,G33,CHAR(10), H1,H33,CHAR(10), I1,I33,CHAR(10), J1,J33,CHAR(10), K1,K33,CHAR(10), L1,L33,CHAR(10), M1,M33,CHAR(10), N1,N33,CHAR(10), O1,O33,CHAR(10), P1,P33,CHAR(10), Q1,Q33,CHAR(10), R1,R33,CHAR(10), S1,S33,CHAR(10), T1,T33,CHAR(10), U1,U33,CHAR(10), V1,V33,CHAR(10), W1,W33,CHAR(10), X1,X33,CHAR(10), Y1,Y33,CHAR(10),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мощность:120 Вт
Мощность на 100 В:
Мощность:
Потребляемая мощность:230 Вт
Количество зон:Пять
Динамик:
Динамик С.Ч.:
Динамик В.Ч.:
Поддержка USB:8 Гб USB Drive
Чувствительность:
Размеры:484x385x90 мм
Вес:7.9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3" s="15" t="s">
        <v>357</v>
      </c>
      <c r="AB33" s="140" t="s">
        <v>1827</v>
      </c>
      <c r="AC33" s="2" t="str">
        <f t="shared" si="0"/>
        <v>MCF DS8120 USB Селекторный усилитель Пять</v>
      </c>
      <c r="AD33" s="2" t="str">
        <f t="shared" si="1"/>
        <v>MCF DS8120 USB Селекторный усилитель Пять</v>
      </c>
      <c r="AE33" s="2" t="s">
        <v>1840</v>
      </c>
      <c r="AG33" s="2" t="s">
        <v>1837</v>
      </c>
      <c r="AH33" s="143" t="s">
        <v>1841</v>
      </c>
      <c r="AI33" s="143" t="s">
        <v>1842</v>
      </c>
      <c r="AJ33" s="143" t="s">
        <v>1843</v>
      </c>
      <c r="AK33" s="143" t="s">
        <v>1844</v>
      </c>
      <c r="AL33" s="2" t="s">
        <v>1837</v>
      </c>
      <c r="AM33" s="2" t="s">
        <v>1837</v>
      </c>
    </row>
    <row r="34" spans="1:39" s="15" customFormat="1" ht="408.75" customHeight="1" x14ac:dyDescent="0.25">
      <c r="A34" s="48">
        <v>33</v>
      </c>
      <c r="B34" s="14" t="s">
        <v>629</v>
      </c>
      <c r="D34" s="16" t="s">
        <v>671</v>
      </c>
      <c r="E34" s="16"/>
      <c r="G34" s="16" t="s">
        <v>518</v>
      </c>
      <c r="J34" s="16" t="s">
        <v>567</v>
      </c>
      <c r="K34" s="16"/>
      <c r="L34" s="16"/>
      <c r="M34" s="16" t="s">
        <v>585</v>
      </c>
      <c r="N34" s="16" t="s">
        <v>580</v>
      </c>
      <c r="O34" s="16"/>
      <c r="R34" s="16" t="s">
        <v>520</v>
      </c>
      <c r="T34" s="16" t="s">
        <v>584</v>
      </c>
      <c r="U34" s="16" t="s">
        <v>658</v>
      </c>
      <c r="V34" s="16"/>
      <c r="W34" s="16" t="s">
        <v>581</v>
      </c>
      <c r="X34" s="16" t="s">
        <v>582</v>
      </c>
      <c r="Y34" s="16"/>
      <c r="Z34" s="16" t="str">
        <f>CONCATENATE( C1,C34,CHAR(10), D1,D34,CHAR(10), E1,E34,CHAR(10), F1,F34,CHAR(10), G1,G34,CHAR(10), H1,H34,CHAR(10), I1,I34,CHAR(10), J1,J34,CHAR(10), K1,K34,CHAR(10), L1,L34,CHAR(10), M1,M34,CHAR(10), N1,N34,CHAR(10), O1,O34,CHAR(10), P1,P34,CHAR(10), Q1,Q34,CHAR(10), R1,R34,CHAR(10), S1,S34,CHAR(10), T1,T34,CHAR(10), U1,U34,CHAR(10), V1,V34,CHAR(10), W1,W34,CHAR(10), X1,X34,CHAR(10), Y1,Y34,CHAR(10),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мощность:180 Вт
Мощность на 100 В:
Мощность:
Потребляемая мощность:290 Вт
Количество зон:Пять
Динамик:
Динамик С.Ч.:
Динамик В.Ч.:
Поддержка USB:8 Гб USB Drive
Чувствительность:
Размеры:484x385x90 мм
Вес:8.2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4" s="15" t="s">
        <v>681</v>
      </c>
      <c r="AB34" s="140" t="s">
        <v>1827</v>
      </c>
      <c r="AC34" s="2" t="str">
        <f t="shared" si="0"/>
        <v>MCF DS8180 USB Селекторный усилитель Пять</v>
      </c>
      <c r="AD34" s="2" t="str">
        <f t="shared" si="1"/>
        <v>MCF DS8180 USB Селекторный усилитель Пять</v>
      </c>
      <c r="AE34" s="2" t="s">
        <v>1840</v>
      </c>
      <c r="AG34" s="2" t="s">
        <v>1837</v>
      </c>
      <c r="AH34" s="143" t="s">
        <v>1841</v>
      </c>
      <c r="AI34" s="143" t="s">
        <v>1842</v>
      </c>
      <c r="AJ34" s="143" t="s">
        <v>1843</v>
      </c>
      <c r="AK34" s="143" t="s">
        <v>1844</v>
      </c>
      <c r="AL34" s="2" t="s">
        <v>1837</v>
      </c>
      <c r="AM34" s="2" t="s">
        <v>1837</v>
      </c>
    </row>
    <row r="35" spans="1:39" s="15" customFormat="1" ht="408.75" customHeight="1" x14ac:dyDescent="0.25">
      <c r="A35" s="48">
        <v>34</v>
      </c>
      <c r="B35" s="14" t="s">
        <v>630</v>
      </c>
      <c r="D35" s="16" t="s">
        <v>671</v>
      </c>
      <c r="E35" s="16"/>
      <c r="G35" s="16" t="s">
        <v>518</v>
      </c>
      <c r="J35" s="16" t="s">
        <v>586</v>
      </c>
      <c r="K35" s="16"/>
      <c r="L35" s="16"/>
      <c r="M35" s="16" t="s">
        <v>587</v>
      </c>
      <c r="N35" s="16" t="s">
        <v>580</v>
      </c>
      <c r="O35" s="16"/>
      <c r="R35" s="16" t="s">
        <v>520</v>
      </c>
      <c r="T35" s="16" t="s">
        <v>584</v>
      </c>
      <c r="U35" s="16" t="s">
        <v>659</v>
      </c>
      <c r="V35" s="16"/>
      <c r="W35" s="16" t="s">
        <v>581</v>
      </c>
      <c r="X35" s="16" t="s">
        <v>582</v>
      </c>
      <c r="Y35" s="16"/>
      <c r="Z35" s="16" t="str">
        <f>CONCATENATE( C1,C35,CHAR(10), D1,D35,CHAR(10), E1,E35,CHAR(10), F1,F35,CHAR(10), G1,G35,CHAR(10), H1,H35,CHAR(10), I1,I35,CHAR(10), J1,J35,CHAR(10), K1,K35,CHAR(10), L1,L35,CHAR(10), M1,M35,CHAR(10), N1,N35,CHAR(10), O1,O35,CHAR(10), P1,P35,CHAR(10), Q1,Q35,CHAR(10), R1,R35,CHAR(10), S1,S35,CHAR(10), T1,T35,CHAR(10), U1,U35,CHAR(10), V1,V35,CHAR(10), W1,W35,CHAR(10), X1,X35,CHAR(10), Y1,Y35,CHAR(10),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мощность:240 Вт
Мощность на 100 В:
Мощность:
Потребляемая мощность:350 Вт
Количество зон:Пять
Динамик:
Динамик С.Ч.:
Динамик В.Ч.:
Поддержка USB:8 Гб USB Drive
Чувствительность:
Размеры:484x385x90 мм
Вес:8.5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5" s="15" t="s">
        <v>679</v>
      </c>
      <c r="AB35" s="140" t="s">
        <v>1827</v>
      </c>
      <c r="AC35" s="2" t="str">
        <f t="shared" si="0"/>
        <v>MCF DS 8240 USB Селекторный усилитель Пять</v>
      </c>
      <c r="AD35" s="2" t="str">
        <f t="shared" si="1"/>
        <v>MCF DS 8240 USB Селекторный усилитель Пять</v>
      </c>
      <c r="AE35" s="2" t="s">
        <v>1840</v>
      </c>
      <c r="AG35" s="2" t="s">
        <v>1837</v>
      </c>
      <c r="AH35" s="143" t="s">
        <v>1841</v>
      </c>
      <c r="AI35" s="143" t="s">
        <v>1842</v>
      </c>
      <c r="AJ35" s="143" t="s">
        <v>1843</v>
      </c>
      <c r="AK35" s="143" t="s">
        <v>1844</v>
      </c>
      <c r="AL35" s="2" t="s">
        <v>1837</v>
      </c>
      <c r="AM35" s="2" t="s">
        <v>1837</v>
      </c>
    </row>
    <row r="36" spans="1:39" s="15" customFormat="1" ht="408.75" customHeight="1" x14ac:dyDescent="0.25">
      <c r="A36" s="48">
        <v>35</v>
      </c>
      <c r="B36" s="14" t="s">
        <v>631</v>
      </c>
      <c r="D36" s="16" t="s">
        <v>671</v>
      </c>
      <c r="E36" s="16"/>
      <c r="G36" s="16" t="s">
        <v>518</v>
      </c>
      <c r="J36" s="16" t="s">
        <v>588</v>
      </c>
      <c r="K36" s="16"/>
      <c r="L36" s="16"/>
      <c r="M36" s="16" t="s">
        <v>589</v>
      </c>
      <c r="N36" s="16" t="s">
        <v>580</v>
      </c>
      <c r="O36" s="16"/>
      <c r="R36" s="16" t="s">
        <v>520</v>
      </c>
      <c r="T36" s="16" t="s">
        <v>584</v>
      </c>
      <c r="U36" s="16" t="s">
        <v>660</v>
      </c>
      <c r="V36" s="16"/>
      <c r="W36" s="16" t="s">
        <v>581</v>
      </c>
      <c r="X36" s="16" t="s">
        <v>582</v>
      </c>
      <c r="Y36" s="16"/>
      <c r="Z36" s="16" t="str">
        <f>CONCATENATE( C1,C36,CHAR(10), D1,D36,CHAR(10), E1,E36,CHAR(10), F1,F36,CHAR(10), G1,G36,CHAR(10), H1,H36,CHAR(10), I1,I36,CHAR(10), J1,J36,CHAR(10), K1,K36,CHAR(10), L1,L36,CHAR(10), M1,M36,CHAR(10), N1,N36,CHAR(10), O1,O36,CHAR(10), P1,P36,CHAR(10), Q1,Q36,CHAR(10), R1,R36,CHAR(10), S1,S36,CHAR(10), T1,T36,CHAR(10), U1,U36,CHAR(10), V1,V36,CHAR(10), W1,W36,CHAR(10), X1,X36,CHAR(10), Y1,Y36,CHAR(10),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мощность:300 Вт
Мощность на 100 В:
Мощность:
Потребляемая мощность:410 Вт
Количество зон:Пять
Динамик:
Динамик С.Ч.:
Динамик В.Ч.:
Поддержка USB:8 Гб USB Drive
Чувствительность:
Размеры:484x385x90 мм
Вес:8.9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6" s="15" t="s">
        <v>682</v>
      </c>
      <c r="AB36" s="140" t="s">
        <v>1827</v>
      </c>
      <c r="AC36" s="2" t="str">
        <f t="shared" si="0"/>
        <v>MCF DS 8300 USB Селекторный усилитель Пять</v>
      </c>
      <c r="AD36" s="2" t="str">
        <f t="shared" si="1"/>
        <v>MCF DS 8300 USB Селекторный усилитель Пять</v>
      </c>
      <c r="AE36" s="2" t="s">
        <v>1840</v>
      </c>
      <c r="AG36" s="2" t="s">
        <v>1837</v>
      </c>
      <c r="AH36" s="143" t="s">
        <v>1841</v>
      </c>
      <c r="AI36" s="143" t="s">
        <v>1842</v>
      </c>
      <c r="AJ36" s="143" t="s">
        <v>1843</v>
      </c>
      <c r="AK36" s="143" t="s">
        <v>1844</v>
      </c>
      <c r="AL36" s="2" t="s">
        <v>1837</v>
      </c>
      <c r="AM36" s="2" t="s">
        <v>1837</v>
      </c>
    </row>
    <row r="37" spans="1:39" s="15" customFormat="1" ht="408.75" customHeight="1" x14ac:dyDescent="0.25">
      <c r="A37" s="48">
        <v>36</v>
      </c>
      <c r="B37" s="14" t="s">
        <v>632</v>
      </c>
      <c r="D37" s="16" t="s">
        <v>671</v>
      </c>
      <c r="E37" s="16"/>
      <c r="G37" s="16" t="s">
        <v>518</v>
      </c>
      <c r="J37" s="16" t="s">
        <v>590</v>
      </c>
      <c r="K37" s="16"/>
      <c r="L37" s="16"/>
      <c r="M37" s="16" t="s">
        <v>591</v>
      </c>
      <c r="N37" s="16" t="s">
        <v>580</v>
      </c>
      <c r="O37" s="16"/>
      <c r="R37" s="16" t="s">
        <v>520</v>
      </c>
      <c r="T37" s="16" t="s">
        <v>584</v>
      </c>
      <c r="U37" s="16" t="s">
        <v>661</v>
      </c>
      <c r="V37" s="16"/>
      <c r="W37" s="16" t="s">
        <v>581</v>
      </c>
      <c r="X37" s="16" t="s">
        <v>582</v>
      </c>
      <c r="Y37" s="16"/>
      <c r="Z37" s="16" t="str">
        <f>CONCATENATE( C1,C37,CHAR(10), D1,D37,CHAR(10), E1,E37,CHAR(10), F1,F37,CHAR(10), G1,G37,CHAR(10), H1,H37,CHAR(10), I1,I37,CHAR(10), J1,J37,CHAR(10), K1,K37,CHAR(10), L1,L37,CHAR(10), M1,M37,CHAR(10), N1,N37,CHAR(10), O1,O37,CHAR(10), P1,P37,CHAR(10), Q1,Q37,CHAR(10), R1,R37,CHAR(10), S1,S37,CHAR(10), T1,T37,CHAR(10), U1,U37,CHAR(10), V1,V37,CHAR(10), W1,W37,CHAR(10), X1,X37,CHAR(10), Y1,Y37,CHAR(10),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мощность:360 Вт
Мощность на 100 В:
Мощность:
Потребляемая мощность:470 Вт
Количество зон:Пять
Динамик:
Динамик С.Ч.:
Динамик В.Ч.:
Поддержка USB:8 Гб USB Drive
Чувствительность:
Размеры:484x385x90 мм
Вес:9.3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7" s="15" t="s">
        <v>680</v>
      </c>
      <c r="AB37" s="140" t="s">
        <v>1827</v>
      </c>
      <c r="AC37" s="2" t="str">
        <f t="shared" si="0"/>
        <v>MCF DS 8360 USB Селекторный усилитель Пять</v>
      </c>
      <c r="AD37" s="2" t="str">
        <f t="shared" si="1"/>
        <v>MCF DS 8360 USB Селекторный усилитель Пять</v>
      </c>
      <c r="AE37" s="2" t="s">
        <v>1840</v>
      </c>
      <c r="AG37" s="2" t="s">
        <v>1837</v>
      </c>
      <c r="AH37" s="143" t="s">
        <v>1841</v>
      </c>
      <c r="AI37" s="143" t="s">
        <v>1842</v>
      </c>
      <c r="AJ37" s="143" t="s">
        <v>1843</v>
      </c>
      <c r="AK37" s="143" t="s">
        <v>1844</v>
      </c>
      <c r="AL37" s="2" t="s">
        <v>1837</v>
      </c>
      <c r="AM37" s="2" t="s">
        <v>1837</v>
      </c>
    </row>
    <row r="38" spans="1:39" s="15" customFormat="1" ht="408.75" customHeight="1" x14ac:dyDescent="0.25">
      <c r="A38" s="48">
        <v>37</v>
      </c>
      <c r="B38" s="14" t="s">
        <v>633</v>
      </c>
      <c r="D38" s="16" t="s">
        <v>671</v>
      </c>
      <c r="E38" s="16"/>
      <c r="G38" s="16" t="s">
        <v>518</v>
      </c>
      <c r="J38" s="16" t="s">
        <v>592</v>
      </c>
      <c r="K38" s="16"/>
      <c r="L38" s="16"/>
      <c r="M38" s="16" t="s">
        <v>593</v>
      </c>
      <c r="N38" s="16" t="s">
        <v>580</v>
      </c>
      <c r="O38" s="16"/>
      <c r="R38" s="16" t="s">
        <v>520</v>
      </c>
      <c r="T38" s="16" t="s">
        <v>584</v>
      </c>
      <c r="U38" s="16" t="s">
        <v>662</v>
      </c>
      <c r="V38" s="16"/>
      <c r="W38" s="16" t="s">
        <v>581</v>
      </c>
      <c r="X38" s="16" t="s">
        <v>582</v>
      </c>
      <c r="Y38" s="16"/>
      <c r="Z38" s="16" t="str">
        <f>CONCATENATE( C1,C38,CHAR(10), D1,D38,CHAR(10), E1,E38,CHAR(10), F1,F38,CHAR(10), G1,G38,CHAR(10), H1,H38,CHAR(10), I1,I38,CHAR(10), J1,J38,CHAR(10), K1,K38,CHAR(10), L1,L38,CHAR(10), M1,M38,CHAR(10), N1,N38,CHAR(10), O1,O38,CHAR(10), P1,P38,CHAR(10), Q1,Q38,CHAR(10), R1,R38,CHAR(10), S1,S38,CHAR(10), T1,T38,CHAR(10), U1,U38,CHAR(10), V1,V38,CHAR(10), W1,W38,CHAR(10), X1,X38,CHAR(10), Y1,Y38,CHAR(10),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мощность:480 Вт
Мощность на 100 В:
Мощность:
Потребляемая мощность:590 Вт
Количество зон:Пять
Динамик:
Динамик С.Ч.:
Динамик В.Ч.:
Поддержка USB:8 Гб USB Drive
Чувствительность:
Размеры:484x385x90 мм
Вес:9.8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8" s="15" t="s">
        <v>683</v>
      </c>
      <c r="AB38" s="140" t="s">
        <v>1827</v>
      </c>
      <c r="AC38" s="2" t="str">
        <f t="shared" si="0"/>
        <v>MCFDS8480 USB Селекторный усилитель Пять</v>
      </c>
      <c r="AD38" s="2" t="str">
        <f t="shared" si="1"/>
        <v>MCFDS8480 USB Селекторный усилитель Пять</v>
      </c>
      <c r="AE38" s="2" t="s">
        <v>1840</v>
      </c>
      <c r="AG38" s="2" t="s">
        <v>1837</v>
      </c>
      <c r="AH38" s="143" t="s">
        <v>1841</v>
      </c>
      <c r="AI38" s="143" t="s">
        <v>1842</v>
      </c>
      <c r="AJ38" s="143" t="s">
        <v>1843</v>
      </c>
      <c r="AK38" s="143" t="s">
        <v>1844</v>
      </c>
      <c r="AL38" s="2" t="s">
        <v>1837</v>
      </c>
      <c r="AM38" s="2" t="s">
        <v>1837</v>
      </c>
    </row>
    <row r="39" spans="1:39" s="15" customFormat="1" ht="408.75" customHeight="1" x14ac:dyDescent="0.25">
      <c r="A39" s="48">
        <v>38</v>
      </c>
      <c r="B39" s="14" t="s">
        <v>634</v>
      </c>
      <c r="D39" s="16" t="s">
        <v>671</v>
      </c>
      <c r="E39" s="16"/>
      <c r="G39" s="16" t="s">
        <v>518</v>
      </c>
      <c r="J39" s="16" t="s">
        <v>594</v>
      </c>
      <c r="K39" s="16"/>
      <c r="L39" s="16"/>
      <c r="M39" s="16" t="s">
        <v>595</v>
      </c>
      <c r="N39" s="16" t="s">
        <v>580</v>
      </c>
      <c r="O39" s="16"/>
      <c r="R39" s="16" t="s">
        <v>520</v>
      </c>
      <c r="T39" s="16" t="s">
        <v>584</v>
      </c>
      <c r="U39" s="16" t="s">
        <v>663</v>
      </c>
      <c r="V39" s="16"/>
      <c r="W39" s="16" t="s">
        <v>581</v>
      </c>
      <c r="X39" s="16" t="s">
        <v>582</v>
      </c>
      <c r="Y39" s="16"/>
      <c r="Z39" s="16" t="str">
        <f>CONCATENATE( C1,C39,CHAR(10), D1,D39,CHAR(10), E1,E39,CHAR(10), F1,F39,CHAR(10), G1,G39,CHAR(10), H1,H39,CHAR(10), I1,I39,CHAR(10), J1,J39,CHAR(10), K1,K39,CHAR(10), L1,L39,CHAR(10), M1,M39,CHAR(10), N1,N39,CHAR(10), O1,O39,CHAR(10), P1,P39,CHAR(10), Q1,Q39,CHAR(10), R1,R39,CHAR(10), S1,S39,CHAR(10), T1,T39,CHAR(10), U1,U39,CHAR(10), V1,V39,CHAR(10), W1,W39,CHAR(10), X1,X39,CHAR(10), Y1,Y39,CHAR(10), )</f>
        <v xml:space="preserve">Воспроизводимая частота:
АЧХ:50 Гц - 16 кГц (± 0.3 дБ)
Напряжение:
Сопротивление:
Отношение сигнал/шум:&gt;80 дБ
Номинальная мощность:
Максимальная мощность:
Выходная мощность:650 Вт
Мощность на 100 В:
Мощность:
Потребляемая мощность:760 Вт
Количество зон:Пять
Динамик:
Динамик С.Ч.:
Динамик В.Ч.:
Поддержка USB:8 Гб USB Drive
Чувствительность:
Размеры:484x385x90 мм
Вес:10.2 кг
Максимальное звуковое давление:
ОхлаждениеАвтоматический вентилятор – вкл. &gt;55°С
ЗащитаВысокая температура, перегрузка и замыкание
Подключение
</v>
      </c>
      <c r="AA39" s="15" t="s">
        <v>684</v>
      </c>
      <c r="AB39" s="140" t="s">
        <v>1827</v>
      </c>
      <c r="AC39" s="2" t="str">
        <f t="shared" si="0"/>
        <v>MCF DS 8650 USB Селекторный усилитель Пять</v>
      </c>
      <c r="AD39" s="2" t="str">
        <f t="shared" si="1"/>
        <v>MCF DS 8650 USB Селекторный усилитель Пять</v>
      </c>
      <c r="AE39" s="2" t="s">
        <v>1840</v>
      </c>
      <c r="AG39" s="2" t="s">
        <v>1837</v>
      </c>
      <c r="AH39" s="143" t="s">
        <v>1841</v>
      </c>
      <c r="AI39" s="143" t="s">
        <v>1842</v>
      </c>
      <c r="AJ39" s="143" t="s">
        <v>1843</v>
      </c>
      <c r="AK39" s="143" t="s">
        <v>1844</v>
      </c>
      <c r="AL39" s="2" t="s">
        <v>1837</v>
      </c>
      <c r="AM39" s="2" t="s">
        <v>1837</v>
      </c>
    </row>
    <row r="40" spans="1:39" s="15" customFormat="1" ht="408.75" customHeight="1" x14ac:dyDescent="0.25">
      <c r="A40" s="48">
        <v>39</v>
      </c>
      <c r="B40" s="14" t="s">
        <v>635</v>
      </c>
      <c r="C40" s="16" t="s">
        <v>596</v>
      </c>
      <c r="D40" s="16"/>
      <c r="E40" s="16"/>
      <c r="G40" s="16"/>
      <c r="J40" s="16"/>
      <c r="K40" s="16"/>
      <c r="L40" s="16"/>
      <c r="M40" s="16"/>
      <c r="N40" s="16"/>
      <c r="O40" s="16" t="s">
        <v>598</v>
      </c>
      <c r="S40" s="16" t="s">
        <v>599</v>
      </c>
      <c r="Y40" s="16" t="s">
        <v>597</v>
      </c>
      <c r="Z40" s="16" t="str">
        <f>CONCATENATE( C1,C40,CHAR(10), D1,D40,CHAR(10), E1,E40,CHAR(10), F1,F40,CHAR(10), G1,G40,CHAR(10), H1,H40,CHAR(10), I1,I40,CHAR(10), J1,J40,CHAR(10), K1,K40,CHAR(10), L1,L40,CHAR(10), M1,M40,CHAR(10), N1,N40,CHAR(10), O1,O40,CHAR(10), P1,P40,CHAR(10), Q1,Q40,CHAR(10), R1,R40,CHAR(10), S1,S40,CHAR(10), T1,T40,CHAR(10), U1,U40,CHAR(10), V1,V40,CHAR(10), W1,W40,CHAR(10), X1,X40,CHAR(10), Y1,Y40,CHAR(10), )</f>
        <v xml:space="preserve">Воспроизводимая частота:100 Гц - 16 кГц
АЧХ:
Напряжение:
Сопротивление:
Отношение сигнал/шум:
Номинальная мощность:
Максимальная мощность:
Выходная мощность:
Мощность на 100 В:
Мощность:
Потребляемая мощность:
Количество зон:
Динамик:Конденсаторный
Динамик С.Ч.:
Динамик В.Ч.:
Поддержка USB:
Чувствительность:-40 дБ +-2 дБ
Размеры:
Вес:
Максимальное звуковое давление:
Охлаждение
Защита
ПодключениеXLR-f
</v>
      </c>
      <c r="AA40" s="15" t="s">
        <v>673</v>
      </c>
      <c r="AB40" s="140" t="s">
        <v>1827</v>
      </c>
      <c r="AC40" s="2" t="str">
        <f t="shared" si="0"/>
        <v xml:space="preserve">MCF CH 380 конференц микрофон </v>
      </c>
      <c r="AD40" s="2" t="str">
        <f t="shared" si="1"/>
        <v xml:space="preserve">MCF CH 380 конференц микрофон </v>
      </c>
      <c r="AE40" s="2" t="s">
        <v>1840</v>
      </c>
      <c r="AG40" s="2" t="s">
        <v>1837</v>
      </c>
      <c r="AH40" s="143" t="s">
        <v>1841</v>
      </c>
      <c r="AI40" s="143" t="s">
        <v>1842</v>
      </c>
      <c r="AJ40" s="143" t="s">
        <v>1843</v>
      </c>
      <c r="AK40" s="143" t="s">
        <v>1844</v>
      </c>
      <c r="AL40" s="2" t="s">
        <v>1837</v>
      </c>
      <c r="AM40" s="2" t="s">
        <v>1837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W22"/>
  <sheetViews>
    <sheetView workbookViewId="0">
      <pane ySplit="1" topLeftCell="A2" activePane="bottomLeft" state="frozen"/>
      <selection activeCell="C1" sqref="C1"/>
      <selection pane="bottomLeft" activeCell="K2" sqref="K2"/>
    </sheetView>
  </sheetViews>
  <sheetFormatPr defaultRowHeight="15" x14ac:dyDescent="0.25"/>
  <cols>
    <col min="1" max="1" width="4.85546875" customWidth="1"/>
    <col min="2" max="2" width="12.7109375" style="64" customWidth="1"/>
    <col min="3" max="4" width="0" hidden="1" customWidth="1"/>
    <col min="5" max="5" width="64.7109375" style="154" hidden="1" customWidth="1"/>
    <col min="6" max="6" width="0" hidden="1" customWidth="1"/>
    <col min="7" max="7" width="42.28515625" style="64" hidden="1" customWidth="1"/>
    <col min="8" max="8" width="24" hidden="1" customWidth="1"/>
    <col min="9" max="9" width="22" style="57" customWidth="1"/>
    <col min="10" max="10" width="15.85546875" style="57" customWidth="1"/>
    <col min="11" max="11" width="84.140625" style="64" customWidth="1"/>
  </cols>
  <sheetData>
    <row r="1" spans="1:23" ht="40.5" customHeight="1" x14ac:dyDescent="0.25">
      <c r="A1" s="58" t="s">
        <v>697</v>
      </c>
      <c r="B1" s="65" t="s">
        <v>698</v>
      </c>
      <c r="C1" s="59" t="s">
        <v>685</v>
      </c>
      <c r="D1" s="59" t="s">
        <v>423</v>
      </c>
      <c r="E1" s="152" t="s">
        <v>689</v>
      </c>
      <c r="F1" s="59" t="s">
        <v>690</v>
      </c>
      <c r="G1" s="60" t="s">
        <v>700</v>
      </c>
      <c r="H1" s="59" t="s">
        <v>701</v>
      </c>
      <c r="I1" s="59" t="s">
        <v>1979</v>
      </c>
      <c r="J1" s="59" t="s">
        <v>699</v>
      </c>
      <c r="K1" s="65" t="s">
        <v>1651</v>
      </c>
      <c r="L1" s="141" t="s">
        <v>1826</v>
      </c>
      <c r="M1" s="142" t="s">
        <v>1828</v>
      </c>
      <c r="N1" s="142" t="s">
        <v>1829</v>
      </c>
      <c r="O1" s="142" t="s">
        <v>1830</v>
      </c>
      <c r="P1" s="142" t="s">
        <v>1831</v>
      </c>
      <c r="Q1" s="142" t="s">
        <v>1832</v>
      </c>
      <c r="R1" s="142" t="s">
        <v>1833</v>
      </c>
      <c r="S1" s="142" t="s">
        <v>1834</v>
      </c>
      <c r="T1" s="142" t="s">
        <v>1835</v>
      </c>
      <c r="U1" s="142" t="s">
        <v>1836</v>
      </c>
      <c r="V1" s="35" t="s">
        <v>1845</v>
      </c>
      <c r="W1" s="35"/>
    </row>
    <row r="2" spans="1:23" ht="161.25" customHeight="1" x14ac:dyDescent="0.25">
      <c r="A2" s="58">
        <v>1</v>
      </c>
      <c r="B2" s="66" t="s">
        <v>702</v>
      </c>
      <c r="C2" t="s">
        <v>686</v>
      </c>
      <c r="D2" s="62" t="s">
        <v>687</v>
      </c>
      <c r="E2" s="153" t="s">
        <v>703</v>
      </c>
      <c r="F2" t="s">
        <v>691</v>
      </c>
      <c r="G2" s="63"/>
      <c r="I2" s="62">
        <v>1.6</v>
      </c>
      <c r="J2" s="61">
        <v>2999</v>
      </c>
      <c r="K2" s="154" t="str">
        <f>CONCATENATE( C1,C2,CHAR(10), D1,D2,CHAR(10), E1,E2,CHAR(10), F1,F2,CHAR(10), G1,G2,CHAR(10), H1,H2,CHAR(10), I1,I2,CHAR(10), )</f>
        <v xml:space="preserve">Материал: сталь
Высота: 1.3 м
В комплекте: телескопическая система выдвижения. держатель микрофонный. фиксатор для провода. регулируемое крепление вертикальной и горизонтальной штанги. резиновые наконечники на треноги. держатель для планшета. держатель для телефона. система амортизации треноги.
Цвет:черный
Примечание:
Максимальная нагрузка:
Вес(кг): 1.6
</v>
      </c>
      <c r="L2" s="140" t="s">
        <v>1827</v>
      </c>
      <c r="M2" s="2" t="str">
        <f t="shared" ref="M2:M14" si="0">CONCATENATE(B2,"",)</f>
        <v>Стойка микрофонная. тип «Журавль». MCF IP-70B</v>
      </c>
      <c r="N2" s="2" t="str">
        <f>CONCATENATE(X2,M2)</f>
        <v>Стойка микрофонная. тип «Журавль». MCF IP-70B</v>
      </c>
      <c r="O2" s="2" t="s">
        <v>1840</v>
      </c>
      <c r="P2" s="2"/>
      <c r="Q2" s="2" t="s">
        <v>1837</v>
      </c>
      <c r="R2" s="143" t="s">
        <v>1841</v>
      </c>
      <c r="S2" s="143" t="s">
        <v>1842</v>
      </c>
      <c r="T2" s="143" t="s">
        <v>1843</v>
      </c>
      <c r="U2" s="143" t="s">
        <v>1844</v>
      </c>
      <c r="V2" s="2" t="s">
        <v>1837</v>
      </c>
      <c r="W2" s="2" t="s">
        <v>1837</v>
      </c>
    </row>
    <row r="3" spans="1:23" ht="180" x14ac:dyDescent="0.25">
      <c r="A3" s="58">
        <f>A2+1</f>
        <v>2</v>
      </c>
      <c r="B3" s="66" t="s">
        <v>704</v>
      </c>
      <c r="C3" t="s">
        <v>686</v>
      </c>
      <c r="D3" s="62" t="s">
        <v>687</v>
      </c>
      <c r="E3" s="151" t="s">
        <v>705</v>
      </c>
      <c r="F3" t="s">
        <v>691</v>
      </c>
      <c r="G3" s="63"/>
      <c r="I3" s="62">
        <v>1.32</v>
      </c>
      <c r="J3" s="61">
        <v>2490</v>
      </c>
      <c r="K3" s="155" t="str">
        <f>CONCATENATE( C1,C3,CHAR(10), D1,D3,CHAR(10), E1,E3,CHAR(10), F1,F3,CHAR(10), G1,G3,CHAR(10), H1,H3,CHAR(10), I1,I3,CHAR(10), )</f>
        <v xml:space="preserve">Материал: сталь
Высота: 1.3 м
В комплекте: телескопическая система выдвижения горизонтальной и вертикальной штанги. держатель микрофонный. фиксатор для провода. регулируемое крепление вертикальной и горизонтальной штанги. резиновые наконечники на треноги. система амортизации треноги. дополнительное телескопическое выдвижение у горизонтальной штанги.
Цвет:черный
Примечание:
Максимальная нагрузка:
Вес(кг): 1.32
</v>
      </c>
      <c r="L3" s="140" t="s">
        <v>1827</v>
      </c>
      <c r="M3" s="2" t="str">
        <f t="shared" si="0"/>
        <v>Стойка микрофонная. тип «Журавль». MCF MS-63</v>
      </c>
      <c r="N3" s="2" t="str">
        <f t="shared" ref="N3:N14" si="1">CONCATENATE(X3,M3)</f>
        <v>Стойка микрофонная. тип «Журавль». MCF MS-63</v>
      </c>
      <c r="O3" s="2" t="s">
        <v>1840</v>
      </c>
      <c r="Q3" s="2" t="s">
        <v>1837</v>
      </c>
      <c r="R3" s="143" t="s">
        <v>1841</v>
      </c>
      <c r="S3" s="143" t="s">
        <v>1842</v>
      </c>
      <c r="T3" s="143" t="s">
        <v>1843</v>
      </c>
      <c r="U3" s="143" t="s">
        <v>1844</v>
      </c>
      <c r="V3" s="2" t="s">
        <v>1837</v>
      </c>
    </row>
    <row r="4" spans="1:23" ht="165" x14ac:dyDescent="0.25">
      <c r="A4" s="58">
        <f t="shared" ref="A4:A14" si="2">A3+1</f>
        <v>3</v>
      </c>
      <c r="B4" s="66" t="s">
        <v>706</v>
      </c>
      <c r="C4" t="s">
        <v>686</v>
      </c>
      <c r="D4" s="62" t="s">
        <v>687</v>
      </c>
      <c r="E4" s="153" t="s">
        <v>707</v>
      </c>
      <c r="F4" t="s">
        <v>691</v>
      </c>
      <c r="G4" s="63"/>
      <c r="I4" s="62">
        <v>1.32</v>
      </c>
      <c r="J4" s="61">
        <v>1990</v>
      </c>
      <c r="K4" s="155" t="str">
        <f>CONCATENATE( C1,C4,CHAR(10), D1,D4,CHAR(10), E1,E4,CHAR(10), F1,F4,CHAR(10), G1,G4,CHAR(10), H1,H4,CHAR(10), I1,I4,CHAR(10), )</f>
        <v xml:space="preserve">Материал: сталь
Высота: 1.3 м
В комплекте: телескопическая система выдвижения. 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держателя.
Цвет:черный
Примечание:
Максимальная нагрузка:
Вес(кг): 1.32
</v>
      </c>
      <c r="L4" s="140" t="s">
        <v>1827</v>
      </c>
      <c r="M4" s="2" t="str">
        <f t="shared" si="0"/>
        <v>Стойка микрофонная. тип «Журавль». MCF MS-70B</v>
      </c>
      <c r="N4" s="2" t="str">
        <f t="shared" si="1"/>
        <v>Стойка микрофонная. тип «Журавль». MCF MS-70B</v>
      </c>
      <c r="O4" s="2" t="s">
        <v>1840</v>
      </c>
      <c r="Q4" s="2" t="s">
        <v>1837</v>
      </c>
      <c r="R4" s="143" t="s">
        <v>1841</v>
      </c>
      <c r="S4" s="143" t="s">
        <v>1842</v>
      </c>
      <c r="T4" s="143" t="s">
        <v>1843</v>
      </c>
      <c r="U4" s="143" t="s">
        <v>1844</v>
      </c>
      <c r="V4" s="2" t="s">
        <v>1837</v>
      </c>
    </row>
    <row r="5" spans="1:23" ht="62.25" customHeight="1" x14ac:dyDescent="0.25">
      <c r="A5" s="58">
        <f t="shared" si="2"/>
        <v>4</v>
      </c>
      <c r="B5" s="67" t="s">
        <v>708</v>
      </c>
      <c r="C5" t="s">
        <v>686</v>
      </c>
      <c r="D5" t="s">
        <v>687</v>
      </c>
      <c r="E5" s="153" t="s">
        <v>709</v>
      </c>
      <c r="F5" t="s">
        <v>692</v>
      </c>
      <c r="G5" s="63" t="s">
        <v>688</v>
      </c>
      <c r="I5">
        <v>1.3</v>
      </c>
      <c r="J5" s="61">
        <v>2490</v>
      </c>
      <c r="K5" s="64" t="str">
        <f>CONCATENATE( C1,C5,CHAR(10), D1,D5,CHAR(10), E1,E5,CHAR(10), F1,F5,CHAR(10), G1,G5,CHAR(10), H1,H5,CHAR(10), I1,I5,CHAR(10), )</f>
        <v xml:space="preserve">Материал: сталь
Высота: 1.3 м
В комплекте: 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
Цвет:хром
Примечание:телескопическая система выдвижения
Максимальная нагрузка:
Вес(кг): 1.3
</v>
      </c>
      <c r="L5" s="140" t="s">
        <v>1827</v>
      </c>
      <c r="M5" s="2" t="str">
        <f t="shared" si="0"/>
        <v>Стойка микрофонная. тип «Журавль». MCF MS-15S</v>
      </c>
      <c r="N5" s="2" t="str">
        <f t="shared" si="1"/>
        <v>Стойка микрофонная. тип «Журавль». MCF MS-15S</v>
      </c>
      <c r="O5" s="2" t="s">
        <v>1840</v>
      </c>
      <c r="Q5" s="2" t="s">
        <v>1837</v>
      </c>
      <c r="R5" s="143" t="s">
        <v>1841</v>
      </c>
      <c r="S5" s="143" t="s">
        <v>1842</v>
      </c>
      <c r="T5" s="143" t="s">
        <v>1843</v>
      </c>
      <c r="U5" s="143" t="s">
        <v>1844</v>
      </c>
      <c r="V5" s="2" t="s">
        <v>1837</v>
      </c>
    </row>
    <row r="6" spans="1:23" ht="150" x14ac:dyDescent="0.25">
      <c r="A6" s="58">
        <f t="shared" si="2"/>
        <v>5</v>
      </c>
      <c r="B6" s="67" t="s">
        <v>710</v>
      </c>
      <c r="C6" t="s">
        <v>686</v>
      </c>
      <c r="D6" t="s">
        <v>687</v>
      </c>
      <c r="E6" s="153" t="s">
        <v>711</v>
      </c>
      <c r="F6" t="s">
        <v>691</v>
      </c>
      <c r="G6" s="63" t="s">
        <v>712</v>
      </c>
      <c r="I6">
        <v>1.3</v>
      </c>
      <c r="J6" s="61">
        <v>3900</v>
      </c>
      <c r="K6" s="64" t="str">
        <f>CONCATENATE( C1,C6,CHAR(10), D1,D6,CHAR(10), E1,E6,CHAR(10), F1,F6,CHAR(10), G1,G6,CHAR(10), H1,H6,CHAR(10), I1,I6,CHAR(10), )</f>
        <v xml:space="preserve">Материал: сталь
Высота: 1.3 м
В комплекте: держатель микрофонный. фиксатор для провода. регулируемое крепление вертикальной и горизонтальной штанги. дисковое основание.
Цвет:черный
Примечание:телескопическая система выдвижения. пружинная система ручного подъема
Максимальная нагрузка:
Вес(кг): 1.3
</v>
      </c>
      <c r="L6" s="140" t="s">
        <v>1827</v>
      </c>
      <c r="M6" s="2" t="str">
        <f t="shared" si="0"/>
        <v>Стойка микрофонная. тип «Журавль». MCF MS-87</v>
      </c>
      <c r="N6" s="2" t="str">
        <f t="shared" si="1"/>
        <v>Стойка микрофонная. тип «Журавль». MCF MS-87</v>
      </c>
      <c r="O6" s="2" t="s">
        <v>1840</v>
      </c>
      <c r="Q6" s="2" t="s">
        <v>1837</v>
      </c>
      <c r="R6" s="143" t="s">
        <v>1841</v>
      </c>
      <c r="S6" s="143" t="s">
        <v>1842</v>
      </c>
      <c r="T6" s="143" t="s">
        <v>1843</v>
      </c>
      <c r="U6" s="143" t="s">
        <v>1844</v>
      </c>
      <c r="V6" s="2" t="s">
        <v>1837</v>
      </c>
    </row>
    <row r="7" spans="1:23" ht="150" x14ac:dyDescent="0.25">
      <c r="A7" s="58">
        <f t="shared" si="2"/>
        <v>6</v>
      </c>
      <c r="B7" s="67" t="s">
        <v>713</v>
      </c>
      <c r="C7" t="s">
        <v>686</v>
      </c>
      <c r="D7" t="s">
        <v>687</v>
      </c>
      <c r="E7" s="153" t="s">
        <v>714</v>
      </c>
      <c r="F7" t="s">
        <v>691</v>
      </c>
      <c r="G7" s="63" t="s">
        <v>688</v>
      </c>
      <c r="I7">
        <v>1.2</v>
      </c>
      <c r="J7" s="61">
        <v>1490</v>
      </c>
      <c r="K7" s="64" t="str">
        <f>CONCATENATE( C1,C7,CHAR(10), D1,D7,CHAR(10), E1,E7,CHAR(10), F1,F7,CHAR(10), G1,G7,CHAR(10), H1,H7,CHAR(10), I1,I7,CHAR(10), )</f>
        <v xml:space="preserve">Материал: сталь
Высота: 1.3 м
В комплекте: держатель микрофонный. фиксатор для провода. регулируемое крепление вертикальной и горизонтальной штанги. резиновые наконечники на треноги. крепление для дополнительного микрофонного держателя.
Цвет:черный
Примечание:телескопическая система выдвижения
Максимальная нагрузка:
Вес(кг): 1.2
</v>
      </c>
      <c r="L7" s="140" t="s">
        <v>1827</v>
      </c>
      <c r="M7" s="2" t="str">
        <f t="shared" si="0"/>
        <v>Стойка микрофонная. тип «Журавль». MCF MS-69B</v>
      </c>
      <c r="N7" s="2" t="str">
        <f t="shared" si="1"/>
        <v>Стойка микрофонная. тип «Журавль». MCF MS-69B</v>
      </c>
      <c r="O7" s="2" t="s">
        <v>1840</v>
      </c>
      <c r="Q7" s="2" t="s">
        <v>1837</v>
      </c>
      <c r="R7" s="143" t="s">
        <v>1841</v>
      </c>
      <c r="S7" s="143" t="s">
        <v>1842</v>
      </c>
      <c r="T7" s="143" t="s">
        <v>1843</v>
      </c>
      <c r="U7" s="143" t="s">
        <v>1844</v>
      </c>
      <c r="V7" s="2" t="s">
        <v>1837</v>
      </c>
    </row>
    <row r="8" spans="1:23" ht="165" x14ac:dyDescent="0.25">
      <c r="A8" s="58">
        <f t="shared" si="2"/>
        <v>7</v>
      </c>
      <c r="B8" s="67" t="s">
        <v>715</v>
      </c>
      <c r="C8" t="s">
        <v>686</v>
      </c>
      <c r="D8" t="s">
        <v>693</v>
      </c>
      <c r="E8" s="153" t="s">
        <v>716</v>
      </c>
      <c r="F8" t="s">
        <v>691</v>
      </c>
      <c r="G8" s="63" t="s">
        <v>712</v>
      </c>
      <c r="I8">
        <v>2.8</v>
      </c>
      <c r="J8" s="61">
        <v>4990</v>
      </c>
      <c r="K8" s="64" t="str">
        <f>CONCATENATE( C1,C8,CHAR(10), D1,D8,CHAR(10), E1,E8,CHAR(10), F1,F8,CHAR(10), G1,G8,CHAR(10), H1,H8,CHAR(10), I1,I8,CHAR(10), )</f>
        <v xml:space="preserve">Материал: сталь
Высота: 1.45 м
В комплекте: 2 микрофонных держателя. фиксатор для провода. регулируемое крепление вертикальной и горизонтальной штанги. резиновые наконечники на треноги.
Цвет:черный
Примечание:телескопическая система выдвижения. пружинная система ручного подъема
Максимальная нагрузка:
Вес(кг): 2.8
</v>
      </c>
      <c r="L8" s="140" t="s">
        <v>1827</v>
      </c>
      <c r="M8" s="2" t="str">
        <f t="shared" si="0"/>
        <v>Стойка микрофонная. тип «Журавль». MCF MSA-883</v>
      </c>
      <c r="N8" s="2" t="str">
        <f t="shared" si="1"/>
        <v>Стойка микрофонная. тип «Журавль». MCF MSA-883</v>
      </c>
      <c r="O8" s="2" t="s">
        <v>1840</v>
      </c>
      <c r="Q8" s="2" t="s">
        <v>1837</v>
      </c>
      <c r="R8" s="143" t="s">
        <v>1841</v>
      </c>
      <c r="S8" s="143" t="s">
        <v>1842</v>
      </c>
      <c r="T8" s="143" t="s">
        <v>1843</v>
      </c>
      <c r="U8" s="143" t="s">
        <v>1844</v>
      </c>
      <c r="V8" s="2" t="s">
        <v>1837</v>
      </c>
    </row>
    <row r="9" spans="1:23" ht="120" x14ac:dyDescent="0.25">
      <c r="A9" s="58">
        <f t="shared" si="2"/>
        <v>8</v>
      </c>
      <c r="B9" s="67" t="s">
        <v>717</v>
      </c>
      <c r="C9" t="s">
        <v>694</v>
      </c>
      <c r="D9" t="s">
        <v>695</v>
      </c>
      <c r="E9" s="153" t="s">
        <v>696</v>
      </c>
      <c r="F9" t="s">
        <v>692</v>
      </c>
      <c r="G9" s="63"/>
      <c r="H9">
        <v>80</v>
      </c>
      <c r="I9">
        <v>2.1</v>
      </c>
      <c r="J9" s="61">
        <v>3990</v>
      </c>
      <c r="K9" s="64" t="str">
        <f>CONCATENATE( C1,C9,CHAR(10), D1,D9,CHAR(10), E1,E9,CHAR(10), F1,F9,CHAR(10), G1,G9,CHAR(10), H1,H9,CHAR(10), I1,I9,CHAR(10), )</f>
        <v xml:space="preserve">Материал: алюминиевый сплав
Высота: 2 м
В комплекте: резиновые наконечники на треноги.
Цвет:хром
Примечание:
Максимальная нагрузка:80
Вес(кг): 2.1
</v>
      </c>
      <c r="L9" s="140" t="s">
        <v>1827</v>
      </c>
      <c r="M9" s="2" t="str">
        <f t="shared" si="0"/>
        <v>Стойка для акустической системы MCF SP-19A</v>
      </c>
      <c r="N9" s="2" t="str">
        <f t="shared" si="1"/>
        <v>Стойка для акустической системы MCF SP-19A</v>
      </c>
      <c r="O9" s="2" t="s">
        <v>1840</v>
      </c>
      <c r="Q9" s="2" t="s">
        <v>1837</v>
      </c>
      <c r="R9" s="143" t="s">
        <v>1841</v>
      </c>
      <c r="S9" s="143" t="s">
        <v>1842</v>
      </c>
      <c r="T9" s="143" t="s">
        <v>1843</v>
      </c>
      <c r="U9" s="143" t="s">
        <v>1844</v>
      </c>
      <c r="V9" s="2" t="s">
        <v>1837</v>
      </c>
    </row>
    <row r="10" spans="1:23" ht="120" x14ac:dyDescent="0.25">
      <c r="A10" s="58">
        <f t="shared" si="2"/>
        <v>9</v>
      </c>
      <c r="B10" s="67" t="s">
        <v>718</v>
      </c>
      <c r="C10" t="s">
        <v>686</v>
      </c>
      <c r="D10" t="s">
        <v>719</v>
      </c>
      <c r="E10" s="153"/>
      <c r="G10" s="63"/>
      <c r="H10">
        <v>50</v>
      </c>
      <c r="I10">
        <v>2.9</v>
      </c>
      <c r="J10" s="61">
        <v>1990</v>
      </c>
      <c r="K10" s="64" t="str">
        <f>CONCATENATE( C1,C10,CHAR(10), D1,D10,CHAR(10), E1,E10,CHAR(10), F1,F10,CHAR(10), G1,G10,CHAR(10), H1,H10,CHAR(10), I1,I10,CHAR(10), )</f>
        <v xml:space="preserve">Материал: сталь
Высота: 1.9 м
В комплекте: 
Цвет:
Примечание:
Максимальная нагрузка:50
Вес(кг): 2.9
</v>
      </c>
      <c r="L10" s="140" t="s">
        <v>1827</v>
      </c>
      <c r="M10" s="2" t="str">
        <f t="shared" si="0"/>
        <v>Стойка для акустической системы MCF SP-88S</v>
      </c>
      <c r="N10" s="2" t="str">
        <f t="shared" si="1"/>
        <v>Стойка для акустической системы MCF SP-88S</v>
      </c>
      <c r="O10" s="2" t="s">
        <v>1840</v>
      </c>
      <c r="Q10" s="2" t="s">
        <v>1837</v>
      </c>
      <c r="R10" s="143" t="s">
        <v>1841</v>
      </c>
      <c r="S10" s="143" t="s">
        <v>1842</v>
      </c>
      <c r="T10" s="143" t="s">
        <v>1843</v>
      </c>
      <c r="U10" s="143" t="s">
        <v>1844</v>
      </c>
      <c r="V10" s="2" t="s">
        <v>1837</v>
      </c>
    </row>
    <row r="11" spans="1:23" ht="120" x14ac:dyDescent="0.25">
      <c r="A11" s="58">
        <f t="shared" si="2"/>
        <v>10</v>
      </c>
      <c r="B11" s="67" t="s">
        <v>720</v>
      </c>
      <c r="C11" t="s">
        <v>686</v>
      </c>
      <c r="D11" t="s">
        <v>695</v>
      </c>
      <c r="E11" s="153"/>
      <c r="G11" s="63"/>
      <c r="I11">
        <v>3.5</v>
      </c>
      <c r="J11" s="61">
        <v>2990</v>
      </c>
      <c r="K11" s="64" t="str">
        <f>CONCATENATE( C1,C11,CHAR(10), D1,D11,CHAR(10), E1,E11,CHAR(10), F1,F11,CHAR(10), G1,G11,CHAR(10), H1,H11,CHAR(10), I1,I11,CHAR(10), )</f>
        <v xml:space="preserve">Материал: сталь
Высота: 2 м
В комплекте: 
Цвет:
Примечание:
Максимальная нагрузка:
Вес(кг): 3.5
</v>
      </c>
      <c r="L11" s="140" t="s">
        <v>1827</v>
      </c>
      <c r="M11" s="2" t="str">
        <f t="shared" si="0"/>
        <v>Стойка для акустической системы MCF SP-19S</v>
      </c>
      <c r="N11" s="2" t="str">
        <f t="shared" si="1"/>
        <v>Стойка для акустической системы MCF SP-19S</v>
      </c>
      <c r="O11" s="2" t="s">
        <v>1840</v>
      </c>
      <c r="Q11" s="2" t="s">
        <v>1837</v>
      </c>
      <c r="R11" s="143" t="s">
        <v>1841</v>
      </c>
      <c r="S11" s="143" t="s">
        <v>1842</v>
      </c>
      <c r="T11" s="143" t="s">
        <v>1843</v>
      </c>
      <c r="U11" s="143" t="s">
        <v>1844</v>
      </c>
      <c r="V11" s="2" t="s">
        <v>1837</v>
      </c>
    </row>
    <row r="12" spans="1:23" ht="120" x14ac:dyDescent="0.25">
      <c r="A12" s="58">
        <f t="shared" si="2"/>
        <v>11</v>
      </c>
      <c r="B12" s="67" t="s">
        <v>721</v>
      </c>
      <c r="E12" s="153"/>
      <c r="G12" s="63"/>
      <c r="I12"/>
      <c r="J12" s="61">
        <v>50</v>
      </c>
      <c r="K12" s="64" t="str">
        <f>CONCATENATE( C1,C12,CHAR(10), D1,D12,CHAR(10), E1,E12,CHAR(10), F1,F12,CHAR(10), G1,G12,CHAR(10), H1,H12,CHAR(10), I1,I12,CHAR(10), )</f>
        <v xml:space="preserve">Материал: 
Высота: 
В комплекте: 
Цвет:
Примечание:
Максимальная нагрузка:
Вес(кг): 
</v>
      </c>
      <c r="L12" s="140" t="s">
        <v>1827</v>
      </c>
      <c r="M12" s="2" t="str">
        <f t="shared" si="0"/>
        <v>Держатель для микрофона MCF M-4</v>
      </c>
      <c r="N12" s="2" t="str">
        <f t="shared" si="1"/>
        <v>Держатель для микрофона MCF M-4</v>
      </c>
      <c r="O12" s="2" t="s">
        <v>1840</v>
      </c>
      <c r="Q12" s="2" t="s">
        <v>1837</v>
      </c>
      <c r="R12" s="143" t="s">
        <v>1841</v>
      </c>
      <c r="S12" s="143" t="s">
        <v>1842</v>
      </c>
      <c r="T12" s="143" t="s">
        <v>1843</v>
      </c>
      <c r="U12" s="143" t="s">
        <v>1844</v>
      </c>
      <c r="V12" s="2" t="s">
        <v>1837</v>
      </c>
    </row>
    <row r="13" spans="1:23" ht="34.5" customHeight="1" x14ac:dyDescent="0.25">
      <c r="A13" s="58">
        <f t="shared" si="2"/>
        <v>12</v>
      </c>
      <c r="B13" s="67" t="s">
        <v>722</v>
      </c>
      <c r="D13" t="s">
        <v>723</v>
      </c>
      <c r="E13" s="153"/>
      <c r="F13" t="s">
        <v>692</v>
      </c>
      <c r="G13" s="63" t="s">
        <v>724</v>
      </c>
      <c r="I13"/>
      <c r="J13" s="61">
        <v>590</v>
      </c>
      <c r="K13" s="64" t="str">
        <f>CONCATENATE( C1,C13,CHAR(10), D1,D13,CHAR(10), E1,E13,CHAR(10), F1,F13,CHAR(10), G1,G13,CHAR(10), H1,H13,CHAR(10), I1,I13,CHAR(10), )</f>
        <v xml:space="preserve">Материал: 
Высота: 0.36 м
В комплекте: 
Цвет:хром
Примечание:система телескопического выдвижения, дисковая основа, штанга микрофонная
Максимальная нагрузка:
Вес(кг): 
</v>
      </c>
      <c r="L13" s="140" t="s">
        <v>1827</v>
      </c>
      <c r="M13" s="2" t="str">
        <f t="shared" si="0"/>
        <v>Микрофонная стойка настольная MCF MS-21S</v>
      </c>
      <c r="N13" s="2" t="str">
        <f t="shared" si="1"/>
        <v>Микрофонная стойка настольная MCF MS-21S</v>
      </c>
      <c r="O13" s="2" t="s">
        <v>1840</v>
      </c>
      <c r="Q13" s="2" t="s">
        <v>1837</v>
      </c>
      <c r="R13" s="143" t="s">
        <v>1841</v>
      </c>
      <c r="S13" s="143" t="s">
        <v>1842</v>
      </c>
      <c r="T13" s="143" t="s">
        <v>1843</v>
      </c>
      <c r="U13" s="143" t="s">
        <v>1844</v>
      </c>
      <c r="V13" s="2" t="s">
        <v>1837</v>
      </c>
    </row>
    <row r="14" spans="1:23" ht="135" x14ac:dyDescent="0.25">
      <c r="A14" s="58">
        <f t="shared" si="2"/>
        <v>13</v>
      </c>
      <c r="B14" s="67" t="s">
        <v>725</v>
      </c>
      <c r="D14" t="s">
        <v>726</v>
      </c>
      <c r="E14" s="153"/>
      <c r="F14" t="s">
        <v>691</v>
      </c>
      <c r="G14" s="63" t="s">
        <v>724</v>
      </c>
      <c r="I14"/>
      <c r="J14" s="61">
        <v>490</v>
      </c>
      <c r="K14" s="64" t="str">
        <f>CONCATENATE( C1,C14,CHAR(10), D1,D14,CHAR(10), E1,E14,CHAR(10), F1,F14,CHAR(10), G1,G14,CHAR(10), H1,H14,CHAR(10), I1,I14,CHAR(10), )</f>
        <v xml:space="preserve">Материал: 
Высота: 0.3 м
В комплекте: 
Цвет:черный
Примечание:система телескопического выдвижения, дисковая основа, штанга микрофонная
Максимальная нагрузка:
Вес(кг): 
</v>
      </c>
      <c r="L14" s="140" t="s">
        <v>1827</v>
      </c>
      <c r="M14" s="2" t="str">
        <f t="shared" si="0"/>
        <v>Микрофонная стойка настольная MCF MS-12</v>
      </c>
      <c r="N14" s="2" t="str">
        <f t="shared" si="1"/>
        <v>Микрофонная стойка настольная MCF MS-12</v>
      </c>
      <c r="O14" s="2" t="s">
        <v>1840</v>
      </c>
      <c r="Q14" s="2" t="s">
        <v>1837</v>
      </c>
      <c r="R14" s="143" t="s">
        <v>1841</v>
      </c>
      <c r="S14" s="143" t="s">
        <v>1842</v>
      </c>
      <c r="T14" s="143" t="s">
        <v>1843</v>
      </c>
      <c r="U14" s="143" t="s">
        <v>1844</v>
      </c>
      <c r="V14" s="2" t="s">
        <v>1837</v>
      </c>
    </row>
    <row r="15" spans="1:23" ht="18.75" x14ac:dyDescent="0.3">
      <c r="B15" s="68"/>
    </row>
    <row r="16" spans="1:23" ht="18.75" x14ac:dyDescent="0.3">
      <c r="B16" s="68"/>
    </row>
    <row r="17" spans="2:2" ht="18.75" x14ac:dyDescent="0.3">
      <c r="B17" s="68"/>
    </row>
    <row r="18" spans="2:2" ht="18.75" x14ac:dyDescent="0.3">
      <c r="B18" s="68"/>
    </row>
    <row r="19" spans="2:2" ht="18.75" x14ac:dyDescent="0.3">
      <c r="B19" s="68"/>
    </row>
    <row r="20" spans="2:2" ht="27.75" x14ac:dyDescent="0.4">
      <c r="B20" s="69"/>
    </row>
    <row r="22" spans="2:2" x14ac:dyDescent="0.25">
      <c r="B22" s="7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F26"/>
  <sheetViews>
    <sheetView zoomScaleNormal="100" workbookViewId="0">
      <pane ySplit="1" topLeftCell="A2" activePane="bottomLeft" state="frozen"/>
      <selection pane="bottomLeft" activeCell="S2" sqref="S2"/>
    </sheetView>
  </sheetViews>
  <sheetFormatPr defaultRowHeight="135.75" customHeight="1" x14ac:dyDescent="0.25"/>
  <cols>
    <col min="1" max="1" width="9.140625" style="79"/>
    <col min="2" max="2" width="9.140625" style="72"/>
    <col min="3" max="3" width="39.5703125" style="72" hidden="1" customWidth="1"/>
    <col min="4" max="4" width="13.85546875" style="72" hidden="1" customWidth="1"/>
    <col min="5" max="5" width="13.42578125" style="72" hidden="1" customWidth="1"/>
    <col min="6" max="6" width="13.140625" style="72" hidden="1" customWidth="1"/>
    <col min="7" max="7" width="10.42578125" style="72" hidden="1" customWidth="1"/>
    <col min="8" max="8" width="13.42578125" style="72" hidden="1" customWidth="1"/>
    <col min="9" max="9" width="18" style="72" hidden="1" customWidth="1"/>
    <col min="10" max="10" width="10.140625" style="72" hidden="1" customWidth="1"/>
    <col min="11" max="11" width="9.140625" style="72" hidden="1" customWidth="1"/>
    <col min="12" max="12" width="12.28515625" style="72" hidden="1" customWidth="1"/>
    <col min="13" max="13" width="10.85546875" style="72" hidden="1" customWidth="1"/>
    <col min="14" max="14" width="12" style="72" hidden="1" customWidth="1"/>
    <col min="15" max="15" width="22.140625" style="72" hidden="1" customWidth="1"/>
    <col min="16" max="16" width="10.7109375" style="72" hidden="1" customWidth="1"/>
    <col min="17" max="17" width="10.85546875" style="72" hidden="1" customWidth="1"/>
    <col min="18" max="18" width="9.140625" style="72"/>
    <col min="19" max="19" width="71.7109375" style="72" customWidth="1"/>
    <col min="20" max="21" width="9.140625" style="72"/>
    <col min="22" max="22" width="17.28515625" style="72" bestFit="1" customWidth="1"/>
    <col min="23" max="23" width="38" style="72" bestFit="1" customWidth="1"/>
    <col min="24" max="16384" width="9.140625" style="72"/>
  </cols>
  <sheetData>
    <row r="1" spans="1:32" s="74" customFormat="1" ht="45.75" customHeight="1" x14ac:dyDescent="0.25">
      <c r="A1" s="74" t="s">
        <v>636</v>
      </c>
      <c r="B1" s="75" t="s">
        <v>0</v>
      </c>
      <c r="C1" s="76" t="s">
        <v>727</v>
      </c>
      <c r="D1" s="77" t="s">
        <v>7</v>
      </c>
      <c r="E1" s="77" t="s">
        <v>111</v>
      </c>
      <c r="F1" s="78" t="s">
        <v>775</v>
      </c>
      <c r="G1" s="77" t="s">
        <v>15</v>
      </c>
      <c r="H1" s="78" t="s">
        <v>788</v>
      </c>
      <c r="I1" s="78" t="s">
        <v>790</v>
      </c>
      <c r="J1" s="78" t="s">
        <v>792</v>
      </c>
      <c r="K1" s="77" t="s">
        <v>730</v>
      </c>
      <c r="L1" s="77" t="s">
        <v>732</v>
      </c>
      <c r="M1" s="77" t="s">
        <v>733</v>
      </c>
      <c r="N1" s="78" t="s">
        <v>795</v>
      </c>
      <c r="O1" s="76" t="s">
        <v>372</v>
      </c>
      <c r="P1" s="77" t="s">
        <v>3</v>
      </c>
      <c r="Q1" s="77" t="s">
        <v>115</v>
      </c>
      <c r="R1" s="77" t="s">
        <v>1861</v>
      </c>
      <c r="S1" s="77" t="s">
        <v>1651</v>
      </c>
      <c r="T1" s="75" t="s">
        <v>1</v>
      </c>
      <c r="U1" s="74" t="s">
        <v>1826</v>
      </c>
      <c r="V1" s="74" t="s">
        <v>1828</v>
      </c>
      <c r="W1" s="74" t="s">
        <v>1829</v>
      </c>
      <c r="X1" s="74" t="s">
        <v>1830</v>
      </c>
      <c r="Y1" s="74" t="s">
        <v>1831</v>
      </c>
      <c r="Z1" s="74" t="s">
        <v>1832</v>
      </c>
      <c r="AA1" s="74" t="s">
        <v>1833</v>
      </c>
      <c r="AB1" s="74" t="s">
        <v>1834</v>
      </c>
      <c r="AC1" s="74" t="s">
        <v>1835</v>
      </c>
      <c r="AD1" s="74" t="s">
        <v>1836</v>
      </c>
      <c r="AE1" s="74" t="s">
        <v>1845</v>
      </c>
    </row>
    <row r="2" spans="1:32" ht="285" customHeight="1" x14ac:dyDescent="0.25">
      <c r="A2" s="79">
        <v>1</v>
      </c>
      <c r="B2" s="53" t="s">
        <v>811</v>
      </c>
      <c r="C2" s="2" t="s">
        <v>810</v>
      </c>
      <c r="D2" s="71" t="s">
        <v>728</v>
      </c>
      <c r="E2" s="71" t="s">
        <v>457</v>
      </c>
      <c r="F2" s="71"/>
      <c r="G2" s="71" t="s">
        <v>729</v>
      </c>
      <c r="H2" s="71"/>
      <c r="I2" s="71"/>
      <c r="J2" s="71"/>
      <c r="K2" s="71" t="s">
        <v>731</v>
      </c>
      <c r="L2" s="71" t="s">
        <v>828</v>
      </c>
      <c r="M2" s="71" t="s">
        <v>734</v>
      </c>
      <c r="N2" s="71"/>
      <c r="O2" s="71" t="s">
        <v>812</v>
      </c>
      <c r="P2" s="71" t="s">
        <v>735</v>
      </c>
      <c r="Q2" s="71" t="s">
        <v>736</v>
      </c>
      <c r="R2" s="71">
        <v>10.199999999999999</v>
      </c>
      <c r="S2" s="71" t="str">
        <f>CONCATENATE( C1,C2,CHAR(10), D1,D2,CHAR(10), E1,E2,CHAR(10), F1,F2,CHAR(10), G1,G2,CHAR(10), H1,H2,CHAR(10), I1,I2,CHAR(10), J1,J2,CHAR(10), K1,K2,CHAR(10), L1,L2,CHAR(10), M1,M2,CHAR(10), N1,N2,CHAR(10), O1,O2,CHAR(10), P1,P2,CHAR(10), Q1,Q2,CHAR(10), R1,R2,CHAR(10), )</f>
        <v xml:space="preserve">Тип акустической системы: активный 2-полосный студийный монитор ближнего поля, 1,25" ВЧ динамик (купол шелк), 8" НЧ динамик (кевлар)
Мощность:60 Вт (ВЧ) + 70 Вт (НЧ)
Отношение сигнал/шум:100 дБ
Звуковое давление:
Диапазон частот:38 Гц - 22 кГц
Регулировка кроссовера:
Регулятор чувствительности входа:
Фильтр нижних частот:
Входное сопротивление:20 кОм
Частота кроссовера:2.2 кГц
Входные разъемы:XLR, ¼"TRS
Выходные разъемы:
Требования к питанию:115 В ~ 50/60 Гц, 230 В ~ 50/60 Гц, 100 В ~ 50/60 Гц
Материал корпуса:МДФ
Размеры:381х254х305 мм
Масса(кг):10.2
</v>
      </c>
      <c r="T2" s="54" t="s">
        <v>681</v>
      </c>
      <c r="U2" s="72" t="s">
        <v>1827</v>
      </c>
      <c r="V2" s="72" t="str">
        <f>B2</f>
        <v>MCF BX8 CARBON</v>
      </c>
      <c r="W2" s="72" t="str">
        <f>CONCATENATE(AF2,V2)</f>
        <v>Студийные мониторы MCF BX8 CARBON</v>
      </c>
      <c r="X2" s="72" t="s">
        <v>1840</v>
      </c>
      <c r="Z2" s="72" t="s">
        <v>1837</v>
      </c>
      <c r="AA2" s="72" t="s">
        <v>1841</v>
      </c>
      <c r="AB2" s="72" t="s">
        <v>1842</v>
      </c>
      <c r="AC2" s="72" t="s">
        <v>1843</v>
      </c>
      <c r="AD2" s="72" t="s">
        <v>1844</v>
      </c>
      <c r="AE2" s="72" t="s">
        <v>1837</v>
      </c>
      <c r="AF2" s="72" t="s">
        <v>1862</v>
      </c>
    </row>
    <row r="3" spans="1:32" ht="135.75" customHeight="1" x14ac:dyDescent="0.25">
      <c r="A3" s="79">
        <v>2</v>
      </c>
      <c r="B3" s="53" t="s">
        <v>813</v>
      </c>
      <c r="C3" s="71" t="s">
        <v>814</v>
      </c>
      <c r="D3" s="71" t="s">
        <v>737</v>
      </c>
      <c r="E3" s="71" t="s">
        <v>457</v>
      </c>
      <c r="F3" s="71"/>
      <c r="G3" s="71" t="s">
        <v>738</v>
      </c>
      <c r="H3" s="71"/>
      <c r="I3" s="71"/>
      <c r="J3" s="71"/>
      <c r="K3" s="71" t="s">
        <v>731</v>
      </c>
      <c r="L3" s="71" t="s">
        <v>829</v>
      </c>
      <c r="M3" s="71" t="s">
        <v>734</v>
      </c>
      <c r="N3" s="71"/>
      <c r="O3" s="71" t="s">
        <v>812</v>
      </c>
      <c r="P3" s="71" t="s">
        <v>735</v>
      </c>
      <c r="Q3" s="71" t="s">
        <v>739</v>
      </c>
      <c r="R3" s="71">
        <v>7.5</v>
      </c>
      <c r="S3" s="71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)</f>
        <v xml:space="preserve">Тип акустической системы: активный 2-полосный студийный монитор ближнего поля, 1,25" ВЧ динамик (купол шелк), 6" НЧ динамик (кевлар)
Мощность:40 Вт (ВЧ) + 60 Вт (НЧ)
Отношение сигнал/шум:100 дБ
Звуковое давление:
Диапазон частот:45 Гц - 22 кГц
Регулировка кроссовера:
Регулятор чувствительности входа:
Фильтр нижних частот:
Входное сопротивление:20 кОм
Частота кроссовера:2.5 кГц
Входные разъемы:XLR, ¼"TRS
Выходные разъемы:
Требования к питанию:115 В ~ 50/60 Гц, 230 В ~ 50/60 Гц, 100 В ~ 50/60 Гц
Материал корпуса:МДФ
Размеры:318х213х249 мм
Масса(кг):7.5
</v>
      </c>
      <c r="T3" s="54" t="s">
        <v>677</v>
      </c>
      <c r="V3" s="72" t="str">
        <f t="shared" ref="V3:V25" si="0">B3</f>
        <v>MCF  BX6 CARBON</v>
      </c>
      <c r="W3" s="72" t="str">
        <f t="shared" ref="W3:W25" si="1">CONCATENATE(AF3,V3)</f>
        <v>Студийные мониторы MCF  BX6 CARBON</v>
      </c>
      <c r="X3" s="72" t="s">
        <v>1840</v>
      </c>
      <c r="Z3" s="72" t="s">
        <v>1837</v>
      </c>
      <c r="AA3" s="72" t="s">
        <v>1841</v>
      </c>
      <c r="AB3" s="72" t="s">
        <v>1842</v>
      </c>
      <c r="AC3" s="72" t="s">
        <v>1843</v>
      </c>
      <c r="AD3" s="72" t="s">
        <v>1844</v>
      </c>
      <c r="AE3" s="72" t="s">
        <v>1837</v>
      </c>
      <c r="AF3" s="72" t="s">
        <v>1862</v>
      </c>
    </row>
    <row r="4" spans="1:32" ht="135.75" customHeight="1" x14ac:dyDescent="0.25">
      <c r="A4" s="79">
        <v>3</v>
      </c>
      <c r="B4" s="53" t="s">
        <v>815</v>
      </c>
      <c r="C4" s="71" t="s">
        <v>816</v>
      </c>
      <c r="D4" s="71" t="s">
        <v>740</v>
      </c>
      <c r="E4" s="71" t="s">
        <v>457</v>
      </c>
      <c r="F4" s="71"/>
      <c r="G4" s="71" t="s">
        <v>741</v>
      </c>
      <c r="H4" s="71"/>
      <c r="I4" s="71"/>
      <c r="J4" s="71"/>
      <c r="K4" s="71" t="s">
        <v>731</v>
      </c>
      <c r="L4" s="71" t="s">
        <v>757</v>
      </c>
      <c r="M4" s="71" t="s">
        <v>734</v>
      </c>
      <c r="N4" s="71"/>
      <c r="O4" s="71" t="s">
        <v>812</v>
      </c>
      <c r="P4" s="71" t="s">
        <v>735</v>
      </c>
      <c r="Q4" s="71" t="s">
        <v>742</v>
      </c>
      <c r="R4" s="71">
        <v>5</v>
      </c>
      <c r="S4" s="71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)</f>
        <v xml:space="preserve">Тип акустической системы: активный 2-полосный студийный монитор ближнего поля, 1" ВЧ динамик (купол шелк), 5" НЧ динамик (кевлар)
Мощность:30 Вт (ВЧ) + 50 Вт (НЧ)
Отношение сигнал/шум:100 дБ
Звуковое давление:
Диапазон частот:56 Гц - 22 кГц
Регулировка кроссовера:
Регулятор чувствительности входа:
Фильтр нижних частот:
Входное сопротивление:20 кОм
Частота кроссовера:2.8 кГц
Входные разъемы:XLR, ¼"TRS
Выходные разъемы:
Требования к питанию:115 В ~ 50/60 Гц, 230 В ~ 50/60 Гц, 100 В ~ 50/60 Гц
Материал корпуса:МДФ
Размеры:250х176х200 мм
Масса(кг):5
</v>
      </c>
      <c r="T4" s="54" t="s">
        <v>357</v>
      </c>
      <c r="V4" s="72" t="str">
        <f t="shared" si="0"/>
        <v>MCF BX5 CARBON</v>
      </c>
      <c r="W4" s="72" t="str">
        <f t="shared" si="1"/>
        <v>Студийные мониторы MCF BX5 CARBON</v>
      </c>
      <c r="X4" s="72" t="s">
        <v>1840</v>
      </c>
      <c r="Z4" s="72" t="s">
        <v>1837</v>
      </c>
      <c r="AA4" s="72" t="s">
        <v>1841</v>
      </c>
      <c r="AB4" s="72" t="s">
        <v>1842</v>
      </c>
      <c r="AC4" s="72" t="s">
        <v>1843</v>
      </c>
      <c r="AD4" s="72" t="s">
        <v>1844</v>
      </c>
      <c r="AE4" s="72" t="s">
        <v>1837</v>
      </c>
      <c r="AF4" s="72" t="s">
        <v>1862</v>
      </c>
    </row>
    <row r="5" spans="1:32" ht="135.75" customHeight="1" x14ac:dyDescent="0.25">
      <c r="A5" s="79">
        <v>4</v>
      </c>
      <c r="B5" s="53" t="s">
        <v>743</v>
      </c>
      <c r="C5" s="71" t="s">
        <v>810</v>
      </c>
      <c r="D5" s="71" t="s">
        <v>728</v>
      </c>
      <c r="E5" s="71" t="s">
        <v>457</v>
      </c>
      <c r="F5" s="71"/>
      <c r="G5" s="71" t="s">
        <v>729</v>
      </c>
      <c r="H5" s="71"/>
      <c r="I5" s="71"/>
      <c r="J5" s="71"/>
      <c r="K5" s="71" t="s">
        <v>731</v>
      </c>
      <c r="L5" s="71" t="s">
        <v>828</v>
      </c>
      <c r="M5" s="71" t="s">
        <v>734</v>
      </c>
      <c r="N5" s="71"/>
      <c r="O5" s="71" t="s">
        <v>812</v>
      </c>
      <c r="P5" s="71" t="s">
        <v>744</v>
      </c>
      <c r="Q5" s="71" t="s">
        <v>736</v>
      </c>
      <c r="R5" s="71">
        <v>12</v>
      </c>
      <c r="S5" s="71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)</f>
        <v xml:space="preserve">Тип акустической системы: активный 2-полосный студийный монитор ближнего поля, 1,25" ВЧ динамик (купол шелк), 8" НЧ динамик (кевлар)
Мощность:60 Вт (ВЧ) + 70 Вт (НЧ)
Отношение сигнал/шум:100 дБ
Звуковое давление:
Диапазон частот:38 Гц - 22 кГц
Регулировка кроссовера:
Регулятор чувствительности входа:
Фильтр нижних частот:
Входное сопротивление:20 кОм
Частота кроссовера:2.2 кГц
Входные разъемы:XLR, ¼"TRS
Выходные разъемы:
Требования к питанию:115 В ~ 50/60 Гц, 230 В ~ 50/60 Гц, 100 В ~ 50/60 Гц
Материал корпуса:Винил-ламинированная МДФ
Размеры:381х254х305 мм
Масса(кг):12
</v>
      </c>
      <c r="T5" s="54" t="s">
        <v>681</v>
      </c>
      <c r="V5" s="72" t="str">
        <f t="shared" si="0"/>
        <v>MCF BX8 D2</v>
      </c>
      <c r="W5" s="72" t="str">
        <f t="shared" si="1"/>
        <v>Студийные мониторы MCF BX8 D2</v>
      </c>
      <c r="X5" s="72" t="s">
        <v>1840</v>
      </c>
      <c r="Z5" s="72" t="s">
        <v>1837</v>
      </c>
      <c r="AA5" s="72" t="s">
        <v>1841</v>
      </c>
      <c r="AB5" s="72" t="s">
        <v>1842</v>
      </c>
      <c r="AC5" s="72" t="s">
        <v>1843</v>
      </c>
      <c r="AD5" s="72" t="s">
        <v>1844</v>
      </c>
      <c r="AE5" s="72" t="s">
        <v>1837</v>
      </c>
      <c r="AF5" s="72" t="s">
        <v>1862</v>
      </c>
    </row>
    <row r="6" spans="1:32" ht="135.75" customHeight="1" x14ac:dyDescent="0.25">
      <c r="A6" s="79">
        <v>5</v>
      </c>
      <c r="B6" s="53" t="s">
        <v>745</v>
      </c>
      <c r="C6" s="71" t="s">
        <v>816</v>
      </c>
      <c r="D6" s="71" t="s">
        <v>746</v>
      </c>
      <c r="E6" s="71" t="s">
        <v>457</v>
      </c>
      <c r="F6" s="71"/>
      <c r="G6" s="71" t="s">
        <v>741</v>
      </c>
      <c r="H6" s="71"/>
      <c r="I6" s="71"/>
      <c r="J6" s="71"/>
      <c r="K6" s="71" t="s">
        <v>731</v>
      </c>
      <c r="L6" s="71" t="s">
        <v>747</v>
      </c>
      <c r="M6" s="71" t="s">
        <v>734</v>
      </c>
      <c r="N6" s="71"/>
      <c r="O6" s="71" t="s">
        <v>812</v>
      </c>
      <c r="P6" s="71" t="s">
        <v>744</v>
      </c>
      <c r="Q6" s="71" t="s">
        <v>748</v>
      </c>
      <c r="R6" s="71">
        <v>5</v>
      </c>
      <c r="S6" s="71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)</f>
        <v xml:space="preserve">Тип акустической системы: активный 2-полосный студийный монитор ближнего поля, 1" ВЧ динамик (купол шелк), 5" НЧ динамик (кевлар)
Мощность:30 Вт (ВЧ) + 40 Вт (НЧ)
Отношение сигнал/шум:100 дБ
Звуковое давление:
Диапазон частот:56 Гц - 22 кГц
Регулировка кроссовера:
Регулятор чувствительности входа:
Фильтр нижних частот:
Входное сопротивление:20 кОм
Частота кроссовера:3 кГц
Входные разъемы:XLR, ¼"TRS
Выходные разъемы:
Требования к питанию:115 В ~ 50/60 Гц, 230 В ~ 50/60 Гц, 100 В ~ 50/60 Гц
Материал корпуса:Винил-ламинированная МДФ
Размеры:195х176х252 мм
Масса(кг):5
</v>
      </c>
      <c r="T6" s="54" t="s">
        <v>357</v>
      </c>
      <c r="V6" s="72" t="str">
        <f t="shared" si="0"/>
        <v>MCF BX5 D2</v>
      </c>
      <c r="W6" s="72" t="str">
        <f t="shared" si="1"/>
        <v>Студийные мониторы MCF BX5 D2</v>
      </c>
      <c r="X6" s="72" t="s">
        <v>1840</v>
      </c>
      <c r="Z6" s="72" t="s">
        <v>1837</v>
      </c>
      <c r="AA6" s="72" t="s">
        <v>1841</v>
      </c>
      <c r="AB6" s="72" t="s">
        <v>1842</v>
      </c>
      <c r="AC6" s="72" t="s">
        <v>1843</v>
      </c>
      <c r="AD6" s="72" t="s">
        <v>1844</v>
      </c>
      <c r="AE6" s="72" t="s">
        <v>1837</v>
      </c>
      <c r="AF6" s="72" t="s">
        <v>1862</v>
      </c>
    </row>
    <row r="7" spans="1:32" ht="135.75" customHeight="1" x14ac:dyDescent="0.25">
      <c r="A7" s="79">
        <v>6</v>
      </c>
      <c r="B7" s="53" t="s">
        <v>749</v>
      </c>
      <c r="C7" s="71" t="s">
        <v>810</v>
      </c>
      <c r="D7" s="71" t="s">
        <v>728</v>
      </c>
      <c r="E7" s="71" t="s">
        <v>457</v>
      </c>
      <c r="F7" s="71"/>
      <c r="G7" s="71" t="s">
        <v>729</v>
      </c>
      <c r="H7" s="71"/>
      <c r="I7" s="71"/>
      <c r="J7" s="71"/>
      <c r="K7" s="71" t="s">
        <v>731</v>
      </c>
      <c r="L7" s="71" t="s">
        <v>828</v>
      </c>
      <c r="M7" s="71" t="s">
        <v>734</v>
      </c>
      <c r="N7" s="71"/>
      <c r="O7" s="71" t="s">
        <v>812</v>
      </c>
      <c r="P7" s="71" t="s">
        <v>744</v>
      </c>
      <c r="Q7" s="71" t="s">
        <v>736</v>
      </c>
      <c r="R7" s="71">
        <v>10.5</v>
      </c>
      <c r="S7" s="71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)</f>
        <v xml:space="preserve">Тип акустической системы: активный 2-полосный студийный монитор ближнего поля, 1,25" ВЧ динамик (купол шелк), 8" НЧ динамик (кевлар)
Мощность:60 Вт (ВЧ) + 70 Вт (НЧ)
Отношение сигнал/шум:100 дБ
Звуковое давление:
Диапазон частот:38 Гц - 22 кГц
Регулировка кроссовера:
Регулятор чувствительности входа:
Фильтр нижних частот:
Входное сопротивление:20 кОм
Частота кроссовера:2.2 кГц
Входные разъемы:XLR, ¼"TRS
Выходные разъемы:
Требования к питанию:115 В ~ 50/60 Гц, 230 В ~ 50/60 Гц, 100 В ~ 50/60 Гц
Материал корпуса:Винил-ламинированная МДФ
Размеры:381х254х305 мм
Масса(кг):10.5
</v>
      </c>
      <c r="T7" s="54" t="s">
        <v>681</v>
      </c>
      <c r="V7" s="72" t="str">
        <f t="shared" si="0"/>
        <v>MCF BX8A</v>
      </c>
      <c r="W7" s="72" t="str">
        <f t="shared" si="1"/>
        <v>Студийные мониторы MCF BX8A</v>
      </c>
      <c r="X7" s="72" t="s">
        <v>1840</v>
      </c>
      <c r="Z7" s="72" t="s">
        <v>1837</v>
      </c>
      <c r="AA7" s="72" t="s">
        <v>1841</v>
      </c>
      <c r="AB7" s="72" t="s">
        <v>1842</v>
      </c>
      <c r="AC7" s="72" t="s">
        <v>1843</v>
      </c>
      <c r="AD7" s="72" t="s">
        <v>1844</v>
      </c>
      <c r="AE7" s="72" t="s">
        <v>1837</v>
      </c>
      <c r="AF7" s="72" t="s">
        <v>1862</v>
      </c>
    </row>
    <row r="8" spans="1:32" ht="135.75" customHeight="1" x14ac:dyDescent="0.25">
      <c r="A8" s="79">
        <v>7</v>
      </c>
      <c r="B8" s="53" t="s">
        <v>750</v>
      </c>
      <c r="C8" s="71" t="s">
        <v>816</v>
      </c>
      <c r="D8" s="71" t="s">
        <v>746</v>
      </c>
      <c r="E8" s="71" t="s">
        <v>457</v>
      </c>
      <c r="F8" s="71"/>
      <c r="G8" s="71" t="s">
        <v>741</v>
      </c>
      <c r="H8" s="71"/>
      <c r="I8" s="71"/>
      <c r="J8" s="71"/>
      <c r="K8" s="71" t="s">
        <v>731</v>
      </c>
      <c r="L8" s="71" t="s">
        <v>747</v>
      </c>
      <c r="M8" s="71" t="s">
        <v>734</v>
      </c>
      <c r="N8" s="71"/>
      <c r="O8" s="71" t="s">
        <v>812</v>
      </c>
      <c r="P8" s="71" t="s">
        <v>744</v>
      </c>
      <c r="Q8" s="71" t="s">
        <v>748</v>
      </c>
      <c r="R8" s="71">
        <v>5</v>
      </c>
      <c r="S8" s="71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)</f>
        <v xml:space="preserve">Тип акустической системы: активный 2-полосный студийный монитор ближнего поля, 1" ВЧ динамик (купол шелк), 5" НЧ динамик (кевлар)
Мощность:30 Вт (ВЧ) + 40 Вт (НЧ)
Отношение сигнал/шум:100 дБ
Звуковое давление:
Диапазон частот:56 Гц - 22 кГц
Регулировка кроссовера:
Регулятор чувствительности входа:
Фильтр нижних частот:
Входное сопротивление:20 кОм
Частота кроссовера:3 кГц
Входные разъемы:XLR, ¼"TRS
Выходные разъемы:
Требования к питанию:115 В ~ 50/60 Гц, 230 В ~ 50/60 Гц, 100 В ~ 50/60 Гц
Материал корпуса:Винил-ламинированная МДФ
Размеры:195х176х252 мм
Масса(кг):5
</v>
      </c>
      <c r="T8" s="54" t="s">
        <v>357</v>
      </c>
      <c r="V8" s="72" t="str">
        <f t="shared" si="0"/>
        <v>MCF BX5A</v>
      </c>
      <c r="W8" s="72" t="str">
        <f t="shared" si="1"/>
        <v>Студийные мониторы MCF BX5A</v>
      </c>
      <c r="X8" s="72" t="s">
        <v>1840</v>
      </c>
      <c r="Z8" s="72" t="s">
        <v>1837</v>
      </c>
      <c r="AA8" s="72" t="s">
        <v>1841</v>
      </c>
      <c r="AB8" s="72" t="s">
        <v>1842</v>
      </c>
      <c r="AC8" s="72" t="s">
        <v>1843</v>
      </c>
      <c r="AD8" s="72" t="s">
        <v>1844</v>
      </c>
      <c r="AE8" s="72" t="s">
        <v>1837</v>
      </c>
      <c r="AF8" s="72" t="s">
        <v>1862</v>
      </c>
    </row>
    <row r="9" spans="1:32" ht="135.75" customHeight="1" x14ac:dyDescent="0.25">
      <c r="A9" s="79">
        <v>8</v>
      </c>
      <c r="B9" s="53" t="s">
        <v>751</v>
      </c>
      <c r="C9" s="71" t="s">
        <v>810</v>
      </c>
      <c r="D9" s="71" t="s">
        <v>728</v>
      </c>
      <c r="E9" s="71" t="s">
        <v>457</v>
      </c>
      <c r="F9" s="71"/>
      <c r="G9" s="71" t="s">
        <v>752</v>
      </c>
      <c r="H9" s="71"/>
      <c r="I9" s="71"/>
      <c r="J9" s="71"/>
      <c r="K9" s="71" t="s">
        <v>731</v>
      </c>
      <c r="L9" s="71" t="s">
        <v>828</v>
      </c>
      <c r="M9" s="71" t="s">
        <v>734</v>
      </c>
      <c r="N9" s="71"/>
      <c r="O9" s="54" t="s">
        <v>812</v>
      </c>
      <c r="P9" s="71" t="s">
        <v>735</v>
      </c>
      <c r="Q9" s="71" t="s">
        <v>736</v>
      </c>
      <c r="R9" s="71">
        <v>12</v>
      </c>
      <c r="S9" s="71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)</f>
        <v xml:space="preserve">Тип акустической системы: активный 2-полосный студийный монитор ближнего поля, 1,25" ВЧ динамик (купол шелк), 8" НЧ динамик (кевлар)
Мощность:60 Вт (ВЧ) + 70 Вт (НЧ)
Отношение сигнал/шум:100 дБ
Звуковое давление:
Диапазон частот:37 Гц - 45 кГц
Регулировка кроссовера:
Регулятор чувствительности входа:
Фильтр нижних частот:
Входное сопротивление:20 кОм
Частота кроссовера:2.2 кГц
Входные разъемы:XLR, ¼"TRS
Выходные разъемы:
Требования к питанию:115 В ~ 50/60 Гц, 230 В ~ 50/60 Гц, 100 В ~ 50/60 Гц
Материал корпуса:МДФ
Размеры:381х254х305 мм
Масса(кг):12
</v>
      </c>
      <c r="T9" s="54" t="s">
        <v>681</v>
      </c>
      <c r="V9" s="72" t="str">
        <f t="shared" si="0"/>
        <v>MCF C8</v>
      </c>
      <c r="W9" s="72" t="str">
        <f t="shared" si="1"/>
        <v>Студийные мониторы MCF C8</v>
      </c>
      <c r="X9" s="72" t="s">
        <v>1840</v>
      </c>
      <c r="Z9" s="72" t="s">
        <v>1837</v>
      </c>
      <c r="AA9" s="72" t="s">
        <v>1841</v>
      </c>
      <c r="AB9" s="72" t="s">
        <v>1842</v>
      </c>
      <c r="AC9" s="72" t="s">
        <v>1843</v>
      </c>
      <c r="AD9" s="72" t="s">
        <v>1844</v>
      </c>
      <c r="AE9" s="72" t="s">
        <v>1837</v>
      </c>
      <c r="AF9" s="72" t="s">
        <v>1862</v>
      </c>
    </row>
    <row r="10" spans="1:32" ht="135.75" customHeight="1" x14ac:dyDescent="0.25">
      <c r="A10" s="79">
        <v>9</v>
      </c>
      <c r="B10" s="53" t="s">
        <v>753</v>
      </c>
      <c r="C10" s="54" t="s">
        <v>814</v>
      </c>
      <c r="D10" s="71" t="s">
        <v>737</v>
      </c>
      <c r="E10" s="71" t="s">
        <v>457</v>
      </c>
      <c r="F10" s="71"/>
      <c r="G10" s="71" t="s">
        <v>754</v>
      </c>
      <c r="H10" s="71"/>
      <c r="I10" s="71"/>
      <c r="J10" s="71"/>
      <c r="K10" s="71" t="s">
        <v>731</v>
      </c>
      <c r="L10" s="71" t="s">
        <v>829</v>
      </c>
      <c r="M10" s="71" t="s">
        <v>734</v>
      </c>
      <c r="N10" s="71"/>
      <c r="O10" s="54" t="s">
        <v>812</v>
      </c>
      <c r="P10" s="71" t="s">
        <v>735</v>
      </c>
      <c r="Q10" s="71" t="s">
        <v>739</v>
      </c>
      <c r="R10" s="71">
        <v>7.5</v>
      </c>
      <c r="S10" s="71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)</f>
        <v xml:space="preserve">Тип акустической системы: активный 2-полосный студийный монитор ближнего поля, 1,25" ВЧ динамик (купол шелк), 6" НЧ динамик (кевлар)
Мощность:40 Вт (ВЧ) + 60 Вт (НЧ)
Отношение сигнал/шум:100 дБ
Звуковое давление:
Диапазон частот:40 Гц - 45 кГц
Регулировка кроссовера:
Регулятор чувствительности входа:
Фильтр нижних частот:
Входное сопротивление:20 кОм
Частота кроссовера:2.5 кГц
Входные разъемы:XLR, ¼"TRS
Выходные разъемы:
Требования к питанию:115 В ~ 50/60 Гц, 230 В ~ 50/60 Гц, 100 В ~ 50/60 Гц
Материал корпуса:МДФ
Размеры:318х213х249 мм
Масса(кг):7.5
</v>
      </c>
      <c r="T10" s="54" t="s">
        <v>677</v>
      </c>
      <c r="V10" s="72" t="str">
        <f t="shared" si="0"/>
        <v>MCF C6</v>
      </c>
      <c r="W10" s="72" t="str">
        <f t="shared" si="1"/>
        <v>Студийные мониторы MCF C6</v>
      </c>
      <c r="X10" s="72" t="s">
        <v>1840</v>
      </c>
      <c r="Z10" s="72" t="s">
        <v>1837</v>
      </c>
      <c r="AA10" s="72" t="s">
        <v>1841</v>
      </c>
      <c r="AB10" s="72" t="s">
        <v>1842</v>
      </c>
      <c r="AC10" s="72" t="s">
        <v>1843</v>
      </c>
      <c r="AD10" s="72" t="s">
        <v>1844</v>
      </c>
      <c r="AE10" s="72" t="s">
        <v>1837</v>
      </c>
      <c r="AF10" s="72" t="s">
        <v>1862</v>
      </c>
    </row>
    <row r="11" spans="1:32" ht="135.75" customHeight="1" x14ac:dyDescent="0.25">
      <c r="A11" s="79">
        <v>10</v>
      </c>
      <c r="B11" s="53" t="s">
        <v>755</v>
      </c>
      <c r="C11" s="54" t="s">
        <v>818</v>
      </c>
      <c r="D11" s="71" t="s">
        <v>746</v>
      </c>
      <c r="E11" s="71" t="s">
        <v>457</v>
      </c>
      <c r="F11" s="71"/>
      <c r="G11" s="71" t="s">
        <v>756</v>
      </c>
      <c r="H11" s="71"/>
      <c r="I11" s="71"/>
      <c r="J11" s="71"/>
      <c r="K11" s="71" t="s">
        <v>731</v>
      </c>
      <c r="L11" s="71" t="s">
        <v>757</v>
      </c>
      <c r="M11" s="71" t="s">
        <v>734</v>
      </c>
      <c r="N11" s="71"/>
      <c r="O11" s="54" t="s">
        <v>812</v>
      </c>
      <c r="P11" s="71" t="s">
        <v>735</v>
      </c>
      <c r="Q11" s="71" t="s">
        <v>742</v>
      </c>
      <c r="R11" s="71">
        <v>5</v>
      </c>
      <c r="S11" s="71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)</f>
        <v xml:space="preserve">Тип акустической системы: активный 2-полосный студийный монитор ближнего поля,1" ВЧ динамик (купол шелк),5" НЧ динамик (кевлар)
Мощность:30 Вт (ВЧ) + 40 Вт (НЧ)
Отношение сигнал/шум:100 дБ
Звуковое давление:
Диапазон частот:45 Гц - 45 кГц
Регулировка кроссовера:
Регулятор чувствительности входа:
Фильтр нижних частот:
Входное сопротивление:20 кОм
Частота кроссовера:2.8 кГц
Входные разъемы:XLR, ¼"TRS
Выходные разъемы:
Требования к питанию:115 В ~ 50/60 Гц, 230 В ~ 50/60 Гц, 100 В ~ 50/60 Гц
Материал корпуса:МДФ
Размеры:250х176х200 мм
Масса(кг):5
</v>
      </c>
      <c r="T11" s="54" t="s">
        <v>357</v>
      </c>
      <c r="V11" s="72" t="str">
        <f t="shared" si="0"/>
        <v>MCF C5</v>
      </c>
      <c r="W11" s="72" t="str">
        <f t="shared" si="1"/>
        <v>Студийные мониторы MCF C5</v>
      </c>
      <c r="X11" s="72" t="s">
        <v>1840</v>
      </c>
      <c r="Z11" s="72" t="s">
        <v>1837</v>
      </c>
      <c r="AA11" s="72" t="s">
        <v>1841</v>
      </c>
      <c r="AB11" s="72" t="s">
        <v>1842</v>
      </c>
      <c r="AC11" s="72" t="s">
        <v>1843</v>
      </c>
      <c r="AD11" s="72" t="s">
        <v>1844</v>
      </c>
      <c r="AE11" s="72" t="s">
        <v>1837</v>
      </c>
      <c r="AF11" s="72" t="s">
        <v>1862</v>
      </c>
    </row>
    <row r="12" spans="1:32" ht="135.75" customHeight="1" x14ac:dyDescent="0.25">
      <c r="A12" s="79">
        <v>11</v>
      </c>
      <c r="B12" s="53" t="s">
        <v>758</v>
      </c>
      <c r="C12" s="54" t="s">
        <v>819</v>
      </c>
      <c r="D12" s="71" t="s">
        <v>728</v>
      </c>
      <c r="E12" s="71" t="s">
        <v>457</v>
      </c>
      <c r="F12" s="71"/>
      <c r="G12" s="71" t="s">
        <v>759</v>
      </c>
      <c r="H12" s="71"/>
      <c r="I12" s="71"/>
      <c r="J12" s="71"/>
      <c r="K12" s="71" t="s">
        <v>731</v>
      </c>
      <c r="L12" s="71" t="s">
        <v>830</v>
      </c>
      <c r="M12" s="71" t="s">
        <v>734</v>
      </c>
      <c r="N12" s="71"/>
      <c r="O12" s="54" t="s">
        <v>812</v>
      </c>
      <c r="P12" s="71" t="s">
        <v>735</v>
      </c>
      <c r="Q12" s="71" t="s">
        <v>760</v>
      </c>
      <c r="R12" s="71">
        <v>13</v>
      </c>
      <c r="S12" s="71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)</f>
        <v xml:space="preserve">Тип акустической системы: активный 2-полосный студийный монитор ближнего поля,1,25" ВЧ динамик (купол шелк),8" НЧ динамик (кевлар)
Мощность:60 Вт (ВЧ) + 70 Вт (НЧ)
Отношение сигнал/шум:100 дБ
Звуковое давление:
Диапазон частот:37 Гц - 55 кГц
Регулировка кроссовера:
Регулятор чувствительности входа:
Фильтр нижних частот:
Входное сопротивление:20 кОм
Частота кроссовера:2.6 кГц
Входные разъемы:XLR, ¼"TRS
Выходные разъемы:
Требования к питанию:115 В ~ 50/60 Гц, 230 В ~ 50/60 Гц, 100 В ~ 50/60 Гц
Материал корпуса:МДФ
Размеры:250х300х410 мм
Масса(кг):13
</v>
      </c>
      <c r="T12" s="54" t="s">
        <v>360</v>
      </c>
      <c r="V12" s="72" t="str">
        <f t="shared" si="0"/>
        <v>MCF G8</v>
      </c>
      <c r="W12" s="72" t="str">
        <f t="shared" si="1"/>
        <v>Студийные мониторы MCF G8</v>
      </c>
      <c r="X12" s="72" t="s">
        <v>1840</v>
      </c>
      <c r="Z12" s="72" t="s">
        <v>1837</v>
      </c>
      <c r="AA12" s="72" t="s">
        <v>1841</v>
      </c>
      <c r="AB12" s="72" t="s">
        <v>1842</v>
      </c>
      <c r="AC12" s="72" t="s">
        <v>1843</v>
      </c>
      <c r="AD12" s="72" t="s">
        <v>1844</v>
      </c>
      <c r="AE12" s="72" t="s">
        <v>1837</v>
      </c>
      <c r="AF12" s="72" t="s">
        <v>1862</v>
      </c>
    </row>
    <row r="13" spans="1:32" ht="135.75" customHeight="1" x14ac:dyDescent="0.25">
      <c r="A13" s="79">
        <v>12</v>
      </c>
      <c r="B13" s="53" t="s">
        <v>761</v>
      </c>
      <c r="C13" s="54" t="s">
        <v>817</v>
      </c>
      <c r="D13" s="71" t="s">
        <v>737</v>
      </c>
      <c r="E13" s="71" t="s">
        <v>457</v>
      </c>
      <c r="F13" s="71"/>
      <c r="G13" s="71" t="s">
        <v>762</v>
      </c>
      <c r="H13" s="71"/>
      <c r="I13" s="71"/>
      <c r="J13" s="71"/>
      <c r="K13" s="71" t="s">
        <v>731</v>
      </c>
      <c r="L13" s="71" t="s">
        <v>831</v>
      </c>
      <c r="M13" s="71" t="s">
        <v>734</v>
      </c>
      <c r="N13" s="71"/>
      <c r="O13" s="54" t="s">
        <v>812</v>
      </c>
      <c r="P13" s="71" t="s">
        <v>735</v>
      </c>
      <c r="Q13" s="71" t="s">
        <v>763</v>
      </c>
      <c r="R13" s="71">
        <v>8.5</v>
      </c>
      <c r="S13" s="71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)</f>
        <v xml:space="preserve">Тип акустической системы: активный 2-полосный студийный монитор ближнего поля,1,25" ВЧ динамик (купол шелк),6" НЧ динамик (кевлар)
Мощность:40 Вт (ВЧ) + 60 Вт (НЧ)
Отношение сигнал/шум:100 дБ
Звуковое давление:
Диапазон частот:45 Гц - 55 кГц
Регулировка кроссовера:
Регулятор чувствительности входа:
Фильтр нижних частот:
Входное сопротивление:20 кОм
Частота кроссовера:2.7 кГц
Входные разъемы:XLR, ¼"TRS
Выходные разъемы:
Требования к питанию:115 В ~ 50/60 Гц, 230 В ~ 50/60 Гц, 100 В ~ 50/60 Гц
Материал корпуса:МДФ
Размеры:220х260х370 мм
Масса(кг):8.5
</v>
      </c>
      <c r="T13" s="54" t="s">
        <v>679</v>
      </c>
      <c r="V13" s="72" t="str">
        <f t="shared" si="0"/>
        <v>MCF G6</v>
      </c>
      <c r="W13" s="72" t="str">
        <f t="shared" si="1"/>
        <v>Студийные мониторы MCF G6</v>
      </c>
      <c r="X13" s="72" t="s">
        <v>1840</v>
      </c>
      <c r="Z13" s="72" t="s">
        <v>1837</v>
      </c>
      <c r="AA13" s="72" t="s">
        <v>1841</v>
      </c>
      <c r="AB13" s="72" t="s">
        <v>1842</v>
      </c>
      <c r="AC13" s="72" t="s">
        <v>1843</v>
      </c>
      <c r="AD13" s="72" t="s">
        <v>1844</v>
      </c>
      <c r="AE13" s="72" t="s">
        <v>1837</v>
      </c>
      <c r="AF13" s="72" t="s">
        <v>1862</v>
      </c>
    </row>
    <row r="14" spans="1:32" ht="135.75" customHeight="1" x14ac:dyDescent="0.25">
      <c r="A14" s="79">
        <v>13</v>
      </c>
      <c r="B14" s="53" t="s">
        <v>764</v>
      </c>
      <c r="C14" s="54" t="s">
        <v>818</v>
      </c>
      <c r="D14" s="71" t="s">
        <v>746</v>
      </c>
      <c r="E14" s="71" t="s">
        <v>457</v>
      </c>
      <c r="F14" s="71"/>
      <c r="G14" s="71" t="s">
        <v>765</v>
      </c>
      <c r="H14" s="71"/>
      <c r="I14" s="71"/>
      <c r="J14" s="71"/>
      <c r="K14" s="71" t="s">
        <v>731</v>
      </c>
      <c r="L14" s="71" t="s">
        <v>757</v>
      </c>
      <c r="M14" s="71" t="s">
        <v>734</v>
      </c>
      <c r="N14" s="71"/>
      <c r="O14" s="54" t="s">
        <v>812</v>
      </c>
      <c r="P14" s="71" t="s">
        <v>735</v>
      </c>
      <c r="Q14" s="71" t="s">
        <v>766</v>
      </c>
      <c r="R14" s="71">
        <v>6</v>
      </c>
      <c r="S14" s="71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)</f>
        <v xml:space="preserve">Тип акустической системы: активный 2-полосный студийный монитор ближнего поля,1" ВЧ динамик (купол шелк),5" НЧ динамик (кевлар)
Мощность:30 Вт (ВЧ) + 40 Вт (НЧ)
Отношение сигнал/шум:100 дБ
Звуковое давление:
Диапазон частот:43 Гц - 55 кГц
Регулировка кроссовера:
Регулятор чувствительности входа:
Фильтр нижних частот:
Входное сопротивление:20 кОм
Частота кроссовера:2.8 кГц
Входные разъемы:XLR, ¼"TRS
Выходные разъемы:
Требования к питанию:115 В ~ 50/60 Гц, 230 В ~ 50/60 Гц, 100 В ~ 50/60 Гц
Материал корпуса:МДФ
Размеры:175х200х338 мм
Масса(кг):6
</v>
      </c>
      <c r="T14" s="54" t="s">
        <v>357</v>
      </c>
      <c r="V14" s="72" t="str">
        <f t="shared" si="0"/>
        <v>MCF G5</v>
      </c>
      <c r="W14" s="72" t="str">
        <f t="shared" si="1"/>
        <v>Студийные мониторы MCF G5</v>
      </c>
      <c r="X14" s="72" t="s">
        <v>1840</v>
      </c>
      <c r="Z14" s="72" t="s">
        <v>1837</v>
      </c>
      <c r="AA14" s="72" t="s">
        <v>1841</v>
      </c>
      <c r="AB14" s="72" t="s">
        <v>1842</v>
      </c>
      <c r="AC14" s="72" t="s">
        <v>1843</v>
      </c>
      <c r="AD14" s="72" t="s">
        <v>1844</v>
      </c>
      <c r="AE14" s="72" t="s">
        <v>1837</v>
      </c>
      <c r="AF14" s="72" t="s">
        <v>1862</v>
      </c>
    </row>
    <row r="15" spans="1:32" ht="135.75" customHeight="1" x14ac:dyDescent="0.25">
      <c r="A15" s="79">
        <v>14</v>
      </c>
      <c r="B15" s="53" t="s">
        <v>767</v>
      </c>
      <c r="C15" s="54" t="s">
        <v>819</v>
      </c>
      <c r="D15" s="71" t="s">
        <v>728</v>
      </c>
      <c r="E15" s="71" t="s">
        <v>457</v>
      </c>
      <c r="F15" s="71"/>
      <c r="G15" s="71" t="s">
        <v>768</v>
      </c>
      <c r="H15" s="71"/>
      <c r="I15" s="71"/>
      <c r="J15" s="71"/>
      <c r="K15" s="71" t="s">
        <v>731</v>
      </c>
      <c r="L15" s="71" t="s">
        <v>828</v>
      </c>
      <c r="M15" s="71" t="s">
        <v>734</v>
      </c>
      <c r="N15" s="71"/>
      <c r="O15" s="54" t="s">
        <v>812</v>
      </c>
      <c r="P15" s="71" t="s">
        <v>735</v>
      </c>
      <c r="Q15" s="71" t="s">
        <v>760</v>
      </c>
      <c r="R15" s="71">
        <v>13</v>
      </c>
      <c r="S15" s="71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)</f>
        <v xml:space="preserve">Тип акустической системы: активный 2-полосный студийный монитор ближнего поля,1,25" ВЧ динамик (купол шелк),8" НЧ динамик (кевлар)
Мощность:60 Вт (ВЧ) + 70 Вт (НЧ)
Отношение сигнал/шум:100 дБ
Звуковое давление:
Диапазон частот:38 Гц - 30 кГц
Регулировка кроссовера:
Регулятор чувствительности входа:
Фильтр нижних частот:
Входное сопротивление:20 кОм
Частота кроссовера:2.2 кГц
Входные разъемы:XLR, ¼"TRS
Выходные разъемы:
Требования к питанию:115 В ~ 50/60 Гц, 230 В ~ 50/60 Гц, 100 В ~ 50/60 Гц
Материал корпуса:МДФ
Размеры:250х300х410 мм
Масса(кг):13
</v>
      </c>
      <c r="T15" s="54" t="s">
        <v>679</v>
      </c>
      <c r="V15" s="72" t="str">
        <f t="shared" si="0"/>
        <v>MCF M8</v>
      </c>
      <c r="W15" s="72" t="str">
        <f t="shared" si="1"/>
        <v>Студийные мониторы MCF M8</v>
      </c>
      <c r="X15" s="72" t="s">
        <v>1840</v>
      </c>
      <c r="Z15" s="72" t="s">
        <v>1837</v>
      </c>
      <c r="AA15" s="72" t="s">
        <v>1841</v>
      </c>
      <c r="AB15" s="72" t="s">
        <v>1842</v>
      </c>
      <c r="AC15" s="72" t="s">
        <v>1843</v>
      </c>
      <c r="AD15" s="72" t="s">
        <v>1844</v>
      </c>
      <c r="AE15" s="72" t="s">
        <v>1837</v>
      </c>
      <c r="AF15" s="72" t="s">
        <v>1862</v>
      </c>
    </row>
    <row r="16" spans="1:32" ht="135.75" customHeight="1" x14ac:dyDescent="0.25">
      <c r="A16" s="79">
        <v>15</v>
      </c>
      <c r="B16" s="53" t="s">
        <v>769</v>
      </c>
      <c r="C16" s="54" t="s">
        <v>817</v>
      </c>
      <c r="D16" s="71" t="s">
        <v>737</v>
      </c>
      <c r="E16" s="71" t="s">
        <v>457</v>
      </c>
      <c r="F16" s="71"/>
      <c r="G16" s="71" t="s">
        <v>770</v>
      </c>
      <c r="H16" s="71"/>
      <c r="I16" s="71"/>
      <c r="J16" s="71"/>
      <c r="K16" s="71" t="s">
        <v>731</v>
      </c>
      <c r="L16" s="71" t="s">
        <v>829</v>
      </c>
      <c r="M16" s="71" t="s">
        <v>734</v>
      </c>
      <c r="N16" s="71"/>
      <c r="O16" s="54" t="s">
        <v>812</v>
      </c>
      <c r="P16" s="71" t="s">
        <v>735</v>
      </c>
      <c r="Q16" s="71" t="s">
        <v>763</v>
      </c>
      <c r="R16" s="71">
        <v>8.5</v>
      </c>
      <c r="S16" s="71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)</f>
        <v xml:space="preserve">Тип акустической системы: активный 2-полосный студийный монитор ближнего поля,1,25" ВЧ динамик (купол шелк),6" НЧ динамик (кевлар)
Мощность:40 Вт (ВЧ) + 60 Вт (НЧ)
Отношение сигнал/шум:100 дБ
Звуковое давление:
Диапазон частот:45 Гц - 35 кГц
Регулировка кроссовера:
Регулятор чувствительности входа:
Фильтр нижних частот:
Входное сопротивление:20 кОм
Частота кроссовера:2.5 кГц
Входные разъемы:XLR, ¼"TRS
Выходные разъемы:
Требования к питанию:115 В ~ 50/60 Гц, 230 В ~ 50/60 Гц, 100 В ~ 50/60 Гц
Материал корпуса:МДФ
Размеры:220х260х370 мм
Масса(кг):8.5
</v>
      </c>
      <c r="T16" s="54" t="s">
        <v>678</v>
      </c>
      <c r="V16" s="72" t="str">
        <f t="shared" si="0"/>
        <v>MCF M6</v>
      </c>
      <c r="W16" s="72" t="str">
        <f t="shared" si="1"/>
        <v>Студийные мониторы MCF M6</v>
      </c>
      <c r="X16" s="72" t="s">
        <v>1840</v>
      </c>
      <c r="Z16" s="72" t="s">
        <v>1837</v>
      </c>
      <c r="AA16" s="72" t="s">
        <v>1841</v>
      </c>
      <c r="AB16" s="72" t="s">
        <v>1842</v>
      </c>
      <c r="AC16" s="72" t="s">
        <v>1843</v>
      </c>
      <c r="AD16" s="72" t="s">
        <v>1844</v>
      </c>
      <c r="AE16" s="72" t="s">
        <v>1837</v>
      </c>
      <c r="AF16" s="72" t="s">
        <v>1862</v>
      </c>
    </row>
    <row r="17" spans="1:32" ht="135.75" customHeight="1" x14ac:dyDescent="0.25">
      <c r="A17" s="79">
        <v>16</v>
      </c>
      <c r="B17" s="53" t="s">
        <v>771</v>
      </c>
      <c r="C17" s="54" t="s">
        <v>818</v>
      </c>
      <c r="D17" s="71" t="s">
        <v>746</v>
      </c>
      <c r="E17" s="71" t="s">
        <v>457</v>
      </c>
      <c r="F17" s="71"/>
      <c r="G17" s="71" t="s">
        <v>772</v>
      </c>
      <c r="H17" s="71"/>
      <c r="I17" s="71"/>
      <c r="J17" s="71"/>
      <c r="K17" s="71" t="s">
        <v>731</v>
      </c>
      <c r="L17" s="71" t="s">
        <v>757</v>
      </c>
      <c r="M17" s="71" t="s">
        <v>734</v>
      </c>
      <c r="N17" s="71"/>
      <c r="O17" s="54" t="s">
        <v>812</v>
      </c>
      <c r="P17" s="71" t="s">
        <v>735</v>
      </c>
      <c r="Q17" s="71" t="s">
        <v>766</v>
      </c>
      <c r="R17" s="71">
        <v>6</v>
      </c>
      <c r="S17" s="71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)</f>
        <v xml:space="preserve">Тип акустической системы: активный 2-полосный студийный монитор ближнего поля,1" ВЧ динамик (купол шелк),5" НЧ динамик (кевлар)
Мощность:30 Вт (ВЧ) + 40 Вт (НЧ)
Отношение сигнал/шум:100 дБ
Звуковое давление:
Диапазон частот:56 Гц - 38 кГц
Регулировка кроссовера:
Регулятор чувствительности входа:
Фильтр нижних частот:
Входное сопротивление:20 кОм
Частота кроссовера:2.8 кГц
Входные разъемы:XLR, ¼"TRS
Выходные разъемы:
Требования к питанию:115 В ~ 50/60 Гц, 230 В ~ 50/60 Гц, 100 В ~ 50/60 Гц
Материал корпуса:МДФ
Размеры:175х200х338 мм
Масса(кг):6
</v>
      </c>
      <c r="T17" s="54" t="s">
        <v>681</v>
      </c>
      <c r="V17" s="72" t="str">
        <f t="shared" si="0"/>
        <v>MCF M5</v>
      </c>
      <c r="W17" s="72" t="str">
        <f t="shared" si="1"/>
        <v>Студийные мониторы MCF M5</v>
      </c>
      <c r="X17" s="72" t="s">
        <v>1840</v>
      </c>
      <c r="Z17" s="72" t="s">
        <v>1837</v>
      </c>
      <c r="AA17" s="72" t="s">
        <v>1841</v>
      </c>
      <c r="AB17" s="72" t="s">
        <v>1842</v>
      </c>
      <c r="AC17" s="72" t="s">
        <v>1843</v>
      </c>
      <c r="AD17" s="72" t="s">
        <v>1844</v>
      </c>
      <c r="AE17" s="72" t="s">
        <v>1837</v>
      </c>
      <c r="AF17" s="72" t="s">
        <v>1862</v>
      </c>
    </row>
    <row r="18" spans="1:32" ht="135.75" customHeight="1" x14ac:dyDescent="0.25">
      <c r="A18" s="79">
        <v>17</v>
      </c>
      <c r="B18" s="53" t="s">
        <v>773</v>
      </c>
      <c r="C18" s="54" t="s">
        <v>820</v>
      </c>
      <c r="D18" s="71" t="s">
        <v>774</v>
      </c>
      <c r="E18" s="71" t="s">
        <v>36</v>
      </c>
      <c r="F18" s="71"/>
      <c r="G18" s="71" t="s">
        <v>738</v>
      </c>
      <c r="H18" s="71"/>
      <c r="I18" s="71"/>
      <c r="J18" s="71"/>
      <c r="K18" s="71" t="s">
        <v>731</v>
      </c>
      <c r="L18" s="71" t="s">
        <v>832</v>
      </c>
      <c r="M18" s="71" t="s">
        <v>776</v>
      </c>
      <c r="N18" s="71"/>
      <c r="O18" s="54" t="s">
        <v>821</v>
      </c>
      <c r="P18" s="71" t="s">
        <v>735</v>
      </c>
      <c r="Q18" s="71" t="s">
        <v>777</v>
      </c>
      <c r="R18" s="71">
        <v>10.6</v>
      </c>
      <c r="S18" s="71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)</f>
        <v xml:space="preserve">Тип акустической системы: активный 2-полосный студийный монитор ближнего поля,1,25" ВЧ динамик (купол шелк),2 х 6" НЧ/СЧ динамик (кевлар),установка в горизонтальном или вертикальном положении
Мощность:65 Вт (ВЧ) + 80 Вт (НЧ)
Отношение сигнал/шум:106 дБ
Звуковое давление:
Диапазон частот:45 Гц - 22 кГц
Регулировка кроссовера:
Регулятор чувствительности входа:
Фильтр нижних частот:
Входное сопротивление:20 кОм
Частота кроссовера:2.4 кГц
Входные разъемы:XLR, ¼"TRS, RCA
Выходные разъемы:
Требования к питанию:115 В ~ 50/60 Гц, 230 В ~ 50/60 Гц
Материал корпуса:МДФ
Размеры:250х460х215 мм
Масса(кг):10.6
</v>
      </c>
      <c r="T18" s="54" t="s">
        <v>360</v>
      </c>
      <c r="V18" s="72" t="str">
        <f t="shared" si="0"/>
        <v>MCF E66</v>
      </c>
      <c r="W18" s="72" t="str">
        <f t="shared" si="1"/>
        <v>Студийные мониторы MCF E66</v>
      </c>
      <c r="X18" s="72" t="s">
        <v>1840</v>
      </c>
      <c r="Z18" s="72" t="s">
        <v>1837</v>
      </c>
      <c r="AA18" s="72" t="s">
        <v>1841</v>
      </c>
      <c r="AB18" s="72" t="s">
        <v>1842</v>
      </c>
      <c r="AC18" s="72" t="s">
        <v>1843</v>
      </c>
      <c r="AD18" s="72" t="s">
        <v>1844</v>
      </c>
      <c r="AE18" s="72" t="s">
        <v>1837</v>
      </c>
      <c r="AF18" s="72" t="s">
        <v>1862</v>
      </c>
    </row>
    <row r="19" spans="1:32" ht="135.75" customHeight="1" x14ac:dyDescent="0.25">
      <c r="A19" s="79">
        <v>18</v>
      </c>
      <c r="B19" s="53" t="s">
        <v>778</v>
      </c>
      <c r="C19" s="54" t="s">
        <v>822</v>
      </c>
      <c r="D19" s="71" t="s">
        <v>779</v>
      </c>
      <c r="E19" s="71" t="s">
        <v>780</v>
      </c>
      <c r="F19" s="71"/>
      <c r="G19" s="71" t="s">
        <v>781</v>
      </c>
      <c r="H19" s="71"/>
      <c r="I19" s="71"/>
      <c r="J19" s="71"/>
      <c r="K19" s="71" t="s">
        <v>731</v>
      </c>
      <c r="L19" s="71" t="s">
        <v>833</v>
      </c>
      <c r="M19" s="71" t="s">
        <v>776</v>
      </c>
      <c r="N19" s="71"/>
      <c r="O19" s="54" t="s">
        <v>821</v>
      </c>
      <c r="P19" s="71" t="s">
        <v>735</v>
      </c>
      <c r="Q19" s="71" t="s">
        <v>782</v>
      </c>
      <c r="R19" s="71">
        <v>5.4</v>
      </c>
      <c r="S19" s="71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)</f>
        <v xml:space="preserve">Тип акустической системы: активный 2-полосный студийный монитор ближнего поля,1,25" ВЧ динамик (купол шелк),2 х 4" НЧ/СЧ динамик (кевлар),установка в горизонтальном или вертикальном положении
Мощность:35 Вт (ВЧ) + 50 Вт (НЧ)
Отношение сигнал/шум:103 дБ
Звуковое давление:
Диапазон частот:55 Гц - 22 кГц
Регулировка кроссовера:
Регулятор чувствительности входа:
Фильтр нижних частот:
Входное сопротивление:20 кОм
Частота кроссовера:2.9 кГц
Входные разъемы:XLR, ¼"TRS, RCA
Выходные разъемы:
Требования к питанию:115 В ~ 50/60 Гц, 230 В ~ 50/60 Гц
Материал корпуса:МДФ
Размеры:180х365х180 мм
Масса(кг):5.4
</v>
      </c>
      <c r="T19" s="54" t="s">
        <v>678</v>
      </c>
      <c r="V19" s="72" t="str">
        <f t="shared" si="0"/>
        <v>MCF E44</v>
      </c>
      <c r="W19" s="72" t="str">
        <f t="shared" si="1"/>
        <v>Студийные мониторы MCF E44</v>
      </c>
      <c r="X19" s="72" t="s">
        <v>1840</v>
      </c>
      <c r="Z19" s="72" t="s">
        <v>1837</v>
      </c>
      <c r="AA19" s="72" t="s">
        <v>1841</v>
      </c>
      <c r="AB19" s="72" t="s">
        <v>1842</v>
      </c>
      <c r="AC19" s="72" t="s">
        <v>1843</v>
      </c>
      <c r="AD19" s="72" t="s">
        <v>1844</v>
      </c>
      <c r="AE19" s="72" t="s">
        <v>1837</v>
      </c>
      <c r="AF19" s="72" t="s">
        <v>1862</v>
      </c>
    </row>
    <row r="20" spans="1:32" ht="135.75" customHeight="1" x14ac:dyDescent="0.25">
      <c r="A20" s="79">
        <v>19</v>
      </c>
      <c r="B20" s="53" t="s">
        <v>783</v>
      </c>
      <c r="C20" s="54" t="s">
        <v>823</v>
      </c>
      <c r="D20" s="71" t="s">
        <v>784</v>
      </c>
      <c r="E20" s="71" t="s">
        <v>785</v>
      </c>
      <c r="F20" s="71" t="s">
        <v>786</v>
      </c>
      <c r="G20" s="71" t="s">
        <v>787</v>
      </c>
      <c r="H20" s="71" t="s">
        <v>789</v>
      </c>
      <c r="I20" s="71" t="s">
        <v>791</v>
      </c>
      <c r="J20" s="71" t="s">
        <v>793</v>
      </c>
      <c r="M20" s="2" t="s">
        <v>794</v>
      </c>
      <c r="N20" s="71" t="s">
        <v>796</v>
      </c>
      <c r="P20" s="71" t="s">
        <v>797</v>
      </c>
      <c r="Q20" s="71" t="s">
        <v>798</v>
      </c>
      <c r="R20" s="71">
        <v>30</v>
      </c>
      <c r="S20" s="71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)</f>
        <v xml:space="preserve">Тип акустической системы: Активная сабвуферная система,динамик 12" (стекловолокно)
Мощность:170 Вт (250 Вт в пике)
Отношение сигнал/шум:&gt; 98 дБ (A - взвешенное)
Звуковое давление:120 дБ
Диапазон частот:20 Гц - 200 Гц
Регулировка кроссовера:50 - 130 Гц
Регулятор чувствительности входа:-30…+6дБ
Фильтр нижних частот:80 Гц, отключаемый
Входное сопротивление:
Частота кроссовера:
Входные разъемы:2 х XLR, 2 х ТRS, 2 х RCA
Выходные разъемы:3 х XLR, 2 х ТRS
Требования к питанию:
Материал корпуса:Фанера
Размеры:405х575х460 мм
Масса(кг):30
</v>
      </c>
      <c r="T20" s="54" t="s">
        <v>488</v>
      </c>
      <c r="V20" s="72" t="str">
        <f t="shared" si="0"/>
        <v>MCF T12</v>
      </c>
      <c r="W20" s="72" t="str">
        <f t="shared" si="1"/>
        <v>Студийные мониторы MCF T12</v>
      </c>
      <c r="X20" s="72" t="s">
        <v>1840</v>
      </c>
      <c r="Z20" s="72" t="s">
        <v>1837</v>
      </c>
      <c r="AA20" s="72" t="s">
        <v>1841</v>
      </c>
      <c r="AB20" s="72" t="s">
        <v>1842</v>
      </c>
      <c r="AC20" s="72" t="s">
        <v>1843</v>
      </c>
      <c r="AD20" s="72" t="s">
        <v>1844</v>
      </c>
      <c r="AE20" s="72" t="s">
        <v>1837</v>
      </c>
      <c r="AF20" s="72" t="s">
        <v>1862</v>
      </c>
    </row>
    <row r="21" spans="1:32" ht="135.75" customHeight="1" x14ac:dyDescent="0.25">
      <c r="A21" s="79">
        <v>20</v>
      </c>
      <c r="B21" s="53" t="s">
        <v>799</v>
      </c>
      <c r="C21" s="54" t="s">
        <v>824</v>
      </c>
      <c r="D21" s="71" t="s">
        <v>784</v>
      </c>
      <c r="E21" s="71" t="s">
        <v>785</v>
      </c>
      <c r="F21" s="71" t="s">
        <v>800</v>
      </c>
      <c r="G21" s="71" t="s">
        <v>787</v>
      </c>
      <c r="H21" s="71" t="s">
        <v>789</v>
      </c>
      <c r="I21" s="71" t="s">
        <v>791</v>
      </c>
      <c r="J21" s="71" t="s">
        <v>793</v>
      </c>
      <c r="M21" s="71" t="s">
        <v>794</v>
      </c>
      <c r="N21" s="71" t="s">
        <v>796</v>
      </c>
      <c r="P21" s="71" t="s">
        <v>797</v>
      </c>
      <c r="Q21" s="71" t="s">
        <v>801</v>
      </c>
      <c r="R21" s="71">
        <v>17.899999999999999</v>
      </c>
      <c r="S21" s="71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)</f>
        <v xml:space="preserve">Тип акустической системы: Активная сабвуферная система,динамик 10" (стекловолокно)
Мощность:170 Вт (250 Вт в пике)
Отношение сигнал/шум:&gt; 98 дБ (A - взвешенное)
Звуковое давление:113 дБ
Диапазон частот:20 Гц - 200 Гц
Регулировка кроссовера:50 - 130 Гц
Регулятор чувствительности входа:-30…+6дБ
Фильтр нижних частот:80 Гц, отключаемый
Входное сопротивление:
Частота кроссовера:
Входные разъемы:2 х XLR, 2 х ТRS, 2 х RCA
Выходные разъемы:3 х XLR, 2 х ТRS
Требования к питанию:
Материал корпуса:Фанера
Размеры:400х320х400 мм
Масса(кг):17.9
</v>
      </c>
      <c r="T21" s="54" t="s">
        <v>680</v>
      </c>
      <c r="V21" s="72" t="str">
        <f t="shared" si="0"/>
        <v>MCF T10</v>
      </c>
      <c r="W21" s="72" t="str">
        <f t="shared" si="1"/>
        <v>Студийные мониторы MCF T10</v>
      </c>
      <c r="X21" s="72" t="s">
        <v>1840</v>
      </c>
      <c r="Z21" s="72" t="s">
        <v>1837</v>
      </c>
      <c r="AA21" s="72" t="s">
        <v>1841</v>
      </c>
      <c r="AB21" s="72" t="s">
        <v>1842</v>
      </c>
      <c r="AC21" s="72" t="s">
        <v>1843</v>
      </c>
      <c r="AD21" s="72" t="s">
        <v>1844</v>
      </c>
      <c r="AE21" s="72" t="s">
        <v>1837</v>
      </c>
      <c r="AF21" s="72" t="s">
        <v>1862</v>
      </c>
    </row>
    <row r="22" spans="1:32" ht="135.75" customHeight="1" x14ac:dyDescent="0.25">
      <c r="A22" s="79">
        <v>21</v>
      </c>
      <c r="B22" s="53" t="s">
        <v>802</v>
      </c>
      <c r="C22" s="54" t="s">
        <v>825</v>
      </c>
      <c r="E22" s="71" t="s">
        <v>785</v>
      </c>
      <c r="F22" s="71" t="s">
        <v>803</v>
      </c>
      <c r="G22" s="71" t="s">
        <v>787</v>
      </c>
      <c r="H22" s="71" t="s">
        <v>789</v>
      </c>
      <c r="I22" s="71" t="s">
        <v>791</v>
      </c>
      <c r="J22" s="71" t="s">
        <v>804</v>
      </c>
      <c r="M22" s="71" t="s">
        <v>805</v>
      </c>
      <c r="N22" s="71" t="s">
        <v>805</v>
      </c>
      <c r="P22" s="71" t="s">
        <v>797</v>
      </c>
      <c r="Q22" s="71" t="s">
        <v>806</v>
      </c>
      <c r="R22" s="71">
        <v>9.6</v>
      </c>
      <c r="S22" s="71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)</f>
        <v xml:space="preserve">Тип акустической системы: Активная сабвуферная система,динамик 8" (стекловолокно)
Мощность:
Отношение сигнал/шум:&gt; 98 дБ (A - взвешенное)
Звуковое давление:104 дБ
Диапазон частот:20 Гц - 200 Гц
Регулировка кроссовера:50 - 130 Гц
Регулятор чувствительности входа:-30…+6дБ
Фильтр нижних частот:80 Гц
Входное сопротивление:
Частота кроссовера:
Входные разъемы:2 х ТRS, 2 х RCA
Выходные разъемы:2 х ТRS, 2 х RCA
Требования к питанию:
Материал корпуса:Фанера
Размеры:280х260х320 мм
Масса(кг):9.6
</v>
      </c>
      <c r="T22" s="54" t="s">
        <v>360</v>
      </c>
      <c r="V22" s="72" t="str">
        <f t="shared" si="0"/>
        <v>MCF T8</v>
      </c>
      <c r="W22" s="72" t="str">
        <f t="shared" si="1"/>
        <v>Студийные мониторы MCF T8</v>
      </c>
      <c r="X22" s="72" t="s">
        <v>1840</v>
      </c>
      <c r="Z22" s="72" t="s">
        <v>1837</v>
      </c>
      <c r="AA22" s="72" t="s">
        <v>1841</v>
      </c>
      <c r="AB22" s="72" t="s">
        <v>1842</v>
      </c>
      <c r="AC22" s="72" t="s">
        <v>1843</v>
      </c>
      <c r="AD22" s="72" t="s">
        <v>1844</v>
      </c>
      <c r="AE22" s="72" t="s">
        <v>1837</v>
      </c>
      <c r="AF22" s="72" t="s">
        <v>1862</v>
      </c>
    </row>
    <row r="23" spans="1:32" ht="135.75" customHeight="1" x14ac:dyDescent="0.25">
      <c r="A23" s="79">
        <v>22</v>
      </c>
      <c r="B23" s="53" t="s">
        <v>807</v>
      </c>
      <c r="C23" s="71" t="s">
        <v>808</v>
      </c>
      <c r="S23" s="72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)</f>
        <v xml:space="preserve">Тип акустической системы: Подставка под акустическую систему вращающаяся
Мощность:
Отношение сигнал/шум:
Звуковое давление:
Диапазон частот:
Регулировка кроссовера:
Регулятор чувствительности входа:
Фильтр нижних частот:
Входное сопротивление:
Частота кроссовера:
Входные разъемы:
Выходные разъемы:
Требования к питанию:
Материал корпуса:
Размеры:
Масса(кг):
</v>
      </c>
      <c r="T23" s="54">
        <v>490</v>
      </c>
      <c r="V23" s="72" t="str">
        <f t="shared" si="0"/>
        <v>MCF SP-360</v>
      </c>
      <c r="W23" s="72" t="str">
        <f t="shared" si="1"/>
        <v>Студийные мониторы MCF SP-360</v>
      </c>
      <c r="X23" s="72" t="s">
        <v>1840</v>
      </c>
      <c r="Z23" s="72" t="s">
        <v>1837</v>
      </c>
      <c r="AA23" s="72" t="s">
        <v>1841</v>
      </c>
      <c r="AB23" s="72" t="s">
        <v>1842</v>
      </c>
      <c r="AC23" s="72" t="s">
        <v>1843</v>
      </c>
      <c r="AD23" s="72" t="s">
        <v>1844</v>
      </c>
      <c r="AE23" s="72" t="s">
        <v>1837</v>
      </c>
      <c r="AF23" s="72" t="s">
        <v>1862</v>
      </c>
    </row>
    <row r="24" spans="1:32" ht="135.75" customHeight="1" x14ac:dyDescent="0.25">
      <c r="A24" s="79">
        <v>23</v>
      </c>
      <c r="B24" s="53" t="s">
        <v>809</v>
      </c>
      <c r="C24" s="54" t="s">
        <v>826</v>
      </c>
      <c r="D24" s="71"/>
      <c r="S24" s="72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)</f>
        <v xml:space="preserve">Тип акустической системы: Стойка под акустическую систему,треугольная тренога,зажим для дополнительного кронштейна
Мощность:
Отношение сигнал/шум:
Звуковое давление:
Диапазон частот:
Регулировка кроссовера:
Регулятор чувствительности входа:
Фильтр нижних частот:
Входное сопротивление:
Частота кроссовера:
Входные разъемы:
Выходные разъемы:
Требования к питанию:
Материал корпуса:
Размеры:
Масса(кг):
</v>
      </c>
      <c r="T24" s="54" t="s">
        <v>673</v>
      </c>
      <c r="V24" s="72" t="str">
        <f t="shared" si="0"/>
        <v>MCF SP-380A</v>
      </c>
      <c r="W24" s="72" t="str">
        <f t="shared" si="1"/>
        <v>Студийные мониторы MCF SP-380A</v>
      </c>
      <c r="X24" s="72" t="s">
        <v>1840</v>
      </c>
      <c r="Z24" s="72" t="s">
        <v>1837</v>
      </c>
      <c r="AA24" s="72" t="s">
        <v>1841</v>
      </c>
      <c r="AB24" s="72" t="s">
        <v>1842</v>
      </c>
      <c r="AC24" s="72" t="s">
        <v>1843</v>
      </c>
      <c r="AD24" s="72" t="s">
        <v>1844</v>
      </c>
      <c r="AE24" s="72" t="s">
        <v>1837</v>
      </c>
      <c r="AF24" s="72" t="s">
        <v>1862</v>
      </c>
    </row>
    <row r="25" spans="1:32" ht="135.75" customHeight="1" x14ac:dyDescent="0.25">
      <c r="A25" s="79">
        <v>24</v>
      </c>
      <c r="B25" s="53" t="s">
        <v>809</v>
      </c>
      <c r="C25" s="54" t="s">
        <v>827</v>
      </c>
      <c r="D25" s="71"/>
      <c r="T25" s="54" t="s">
        <v>673</v>
      </c>
      <c r="V25" s="72" t="str">
        <f t="shared" si="0"/>
        <v>MCF SP-380A</v>
      </c>
      <c r="W25" s="72" t="str">
        <f t="shared" si="1"/>
        <v>Студийные мониторы MCF SP-380A</v>
      </c>
      <c r="X25" s="72" t="s">
        <v>1840</v>
      </c>
      <c r="Z25" s="72" t="s">
        <v>1837</v>
      </c>
      <c r="AA25" s="72" t="s">
        <v>1841</v>
      </c>
      <c r="AB25" s="72" t="s">
        <v>1842</v>
      </c>
      <c r="AC25" s="72" t="s">
        <v>1843</v>
      </c>
      <c r="AD25" s="72" t="s">
        <v>1844</v>
      </c>
      <c r="AE25" s="72" t="s">
        <v>1837</v>
      </c>
      <c r="AF25" s="72" t="s">
        <v>1862</v>
      </c>
    </row>
    <row r="26" spans="1:32" ht="135.75" customHeight="1" x14ac:dyDescent="0.25">
      <c r="B26" s="7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S49"/>
  <sheetViews>
    <sheetView zoomScale="85" zoomScaleNormal="85" workbookViewId="0">
      <pane ySplit="1" topLeftCell="A2" activePane="bottomLeft" state="frozen"/>
      <selection pane="bottomLeft" activeCell="AF2" sqref="AF2"/>
    </sheetView>
  </sheetViews>
  <sheetFormatPr defaultRowHeight="59.25" customHeight="1" x14ac:dyDescent="0.25"/>
  <cols>
    <col min="1" max="1" width="9.140625" style="81"/>
    <col min="2" max="2" width="28.5703125" style="80" customWidth="1"/>
    <col min="3" max="3" width="11.5703125" style="80" hidden="1" customWidth="1"/>
    <col min="4" max="5" width="12.42578125" style="80" hidden="1" customWidth="1"/>
    <col min="6" max="13" width="0" style="80" hidden="1" customWidth="1"/>
    <col min="14" max="14" width="20.7109375" style="80" hidden="1" customWidth="1"/>
    <col min="15" max="22" width="0" style="80" hidden="1" customWidth="1"/>
    <col min="23" max="23" width="16" style="80" hidden="1" customWidth="1"/>
    <col min="24" max="28" width="0" style="80" hidden="1" customWidth="1"/>
    <col min="29" max="29" width="21" style="80" customWidth="1"/>
    <col min="30" max="30" width="25.7109375" style="80" hidden="1" customWidth="1"/>
    <col min="31" max="31" width="15" style="80" hidden="1" customWidth="1"/>
    <col min="32" max="32" width="60.42578125" style="80" customWidth="1"/>
    <col min="33" max="34" width="9.140625" style="80"/>
    <col min="35" max="35" width="110.7109375" style="80" bestFit="1" customWidth="1"/>
    <col min="36" max="36" width="32.5703125" style="80" bestFit="1" customWidth="1"/>
    <col min="37" max="16384" width="9.140625" style="80"/>
  </cols>
  <sheetData>
    <row r="1" spans="1:45" s="42" customFormat="1" ht="59.25" customHeight="1" x14ac:dyDescent="0.25">
      <c r="A1" s="42" t="s">
        <v>636</v>
      </c>
      <c r="B1" s="113" t="s">
        <v>0</v>
      </c>
      <c r="C1" s="46" t="s">
        <v>834</v>
      </c>
      <c r="D1" s="46" t="s">
        <v>384</v>
      </c>
      <c r="E1" s="46" t="s">
        <v>889</v>
      </c>
      <c r="F1" s="46" t="s">
        <v>837</v>
      </c>
      <c r="G1" s="46" t="s">
        <v>881</v>
      </c>
      <c r="H1" s="46" t="s">
        <v>883</v>
      </c>
      <c r="I1" s="46" t="s">
        <v>892</v>
      </c>
      <c r="J1" s="46" t="s">
        <v>839</v>
      </c>
      <c r="K1" s="46" t="s">
        <v>934</v>
      </c>
      <c r="L1" s="46" t="s">
        <v>884</v>
      </c>
      <c r="M1" s="46" t="s">
        <v>894</v>
      </c>
      <c r="N1" s="46" t="s">
        <v>438</v>
      </c>
      <c r="O1" s="46" t="s">
        <v>851</v>
      </c>
      <c r="P1" s="46" t="s">
        <v>842</v>
      </c>
      <c r="Q1" s="51" t="s">
        <v>936</v>
      </c>
      <c r="R1" s="46" t="s">
        <v>898</v>
      </c>
      <c r="S1" s="46" t="s">
        <v>886</v>
      </c>
      <c r="T1" s="46" t="s">
        <v>896</v>
      </c>
      <c r="U1" s="46" t="s">
        <v>900</v>
      </c>
      <c r="V1" s="46" t="s">
        <v>902</v>
      </c>
      <c r="W1" s="46" t="s">
        <v>862</v>
      </c>
      <c r="X1" s="46" t="s">
        <v>852</v>
      </c>
      <c r="Y1" s="46" t="s">
        <v>905</v>
      </c>
      <c r="Z1" s="46" t="s">
        <v>950</v>
      </c>
      <c r="AA1" s="46" t="s">
        <v>904</v>
      </c>
      <c r="AB1" s="46" t="s">
        <v>844</v>
      </c>
      <c r="AC1" s="46" t="s">
        <v>1978</v>
      </c>
      <c r="AD1" s="46" t="s">
        <v>386</v>
      </c>
      <c r="AE1" s="46" t="s">
        <v>142</v>
      </c>
      <c r="AF1" s="46" t="s">
        <v>1651</v>
      </c>
      <c r="AG1" s="46" t="s">
        <v>1</v>
      </c>
      <c r="AH1" s="74" t="s">
        <v>1826</v>
      </c>
      <c r="AI1" s="74" t="s">
        <v>1828</v>
      </c>
      <c r="AJ1" s="74" t="s">
        <v>1829</v>
      </c>
      <c r="AK1" s="74" t="s">
        <v>1830</v>
      </c>
      <c r="AL1" s="74" t="s">
        <v>1831</v>
      </c>
      <c r="AM1" s="74" t="s">
        <v>1832</v>
      </c>
      <c r="AN1" s="74" t="s">
        <v>1833</v>
      </c>
      <c r="AO1" s="74" t="s">
        <v>1834</v>
      </c>
      <c r="AP1" s="74" t="s">
        <v>1835</v>
      </c>
      <c r="AQ1" s="74" t="s">
        <v>1836</v>
      </c>
      <c r="AR1" s="74" t="s">
        <v>1845</v>
      </c>
      <c r="AS1" s="74"/>
    </row>
    <row r="2" spans="1:45" s="15" customFormat="1" ht="409.5" customHeight="1" x14ac:dyDescent="0.25">
      <c r="A2" s="48">
        <v>1</v>
      </c>
      <c r="B2" s="12" t="s">
        <v>1863</v>
      </c>
      <c r="C2" s="16" t="s">
        <v>835</v>
      </c>
      <c r="D2" s="16" t="s">
        <v>836</v>
      </c>
      <c r="E2" s="16"/>
      <c r="F2" s="16" t="s">
        <v>838</v>
      </c>
      <c r="G2" s="16"/>
      <c r="H2" s="16"/>
      <c r="I2" s="16"/>
      <c r="J2" s="16" t="s">
        <v>840</v>
      </c>
      <c r="K2" s="16"/>
      <c r="L2" s="16"/>
      <c r="M2" s="16"/>
      <c r="N2" s="16" t="s">
        <v>841</v>
      </c>
      <c r="O2" s="16"/>
      <c r="P2" s="16" t="s">
        <v>843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 t="s">
        <v>845</v>
      </c>
      <c r="AC2" s="16">
        <v>9</v>
      </c>
      <c r="AD2" s="16"/>
      <c r="AE2" s="16"/>
      <c r="AF2" s="16" t="str">
        <f>CONCATENATE( C1,C2,CHAR(10), D1,D2,CHAR(10), E1,E2,CHAR(10), F1,F2,CHAR(10), G1,G2,CHAR(10), H1,H2,CHAR(10), I1,I2,CHAR(10), J1,J2,CHAR(10), K1,K2,CHAR(10), L1,L2,CHAR(10), M1,M2,CHAR(10), N1,N2,CHAR(10), O1,O2,CHAR(10), P1,P2,CHAR(10), Q1,Q2,CHAR(10), R1,R2,CHAR(10), S1,S2,CHAR(10), U1,U2,CHAR(10), V1,V2,CHAR(10), W1,W2,CHAR(10), X1,X2,CHAR(10), Y1,Y2,CHAR(10), Z1,Z2,CHAR(10), AA1,AA2,CHAR(10), AB1,AB2,CHAR(10), AC1,AC2,CHAR(10), AD1,AD2,CHAR(10), )</f>
        <v xml:space="preserve">Рабочее напряжение:220В – 240 В 50/60 Гц
Питание:2600 Вт
Тип цоколя лампы:
Источник(и) света:4 лампы-фары DWE 650 Вт
Тип лампы:
Мощность LED лампы:
Цветовая температура:
Угол раскрытия луча:Однородный
Угол панарамы:
Ширина луча:
Гидромониторное расстояние:
Управление:DMX
Каналов DMX:
Диммер:0-100%
Gobo:
Электронная диафрагма:
Цветовой диск с 8 цветами:
Световой поток:
Световой КПД:
Строб:
Светодиод:
Рабочая температура:
Фокусировка:
CRI (Ra&gt;):
Габариты:430x350x160 мм
Вес(kg):9
Особенности:
</v>
      </c>
      <c r="AG2" s="23">
        <v>17900</v>
      </c>
      <c r="AH2" s="72" t="s">
        <v>1827</v>
      </c>
      <c r="AI2" s="72" t="str">
        <f>B2</f>
        <v xml:space="preserve">MCF 4 DWE 650W Блиндер-панель </v>
      </c>
      <c r="AJ2" s="72" t="str">
        <f>AI2</f>
        <v xml:space="preserve">MCF 4 DWE 650W Блиндер-панель </v>
      </c>
      <c r="AK2" s="72" t="s">
        <v>1840</v>
      </c>
      <c r="AL2" s="72"/>
      <c r="AM2" s="72" t="s">
        <v>1837</v>
      </c>
      <c r="AN2" s="72" t="s">
        <v>1841</v>
      </c>
      <c r="AO2" s="72" t="s">
        <v>1842</v>
      </c>
      <c r="AP2" s="72" t="s">
        <v>1843</v>
      </c>
      <c r="AQ2" s="72" t="s">
        <v>1844</v>
      </c>
      <c r="AR2" s="72" t="s">
        <v>1837</v>
      </c>
      <c r="AS2" s="72"/>
    </row>
    <row r="3" spans="1:45" s="15" customFormat="1" ht="59.25" customHeight="1" x14ac:dyDescent="0.25">
      <c r="A3" s="48">
        <v>2</v>
      </c>
      <c r="B3" s="12" t="s">
        <v>1864</v>
      </c>
      <c r="C3" s="16" t="s">
        <v>835</v>
      </c>
      <c r="D3" s="16" t="s">
        <v>846</v>
      </c>
      <c r="E3" s="16"/>
      <c r="F3" s="16" t="s">
        <v>847</v>
      </c>
      <c r="G3" s="16"/>
      <c r="H3" s="16"/>
      <c r="I3" s="16"/>
      <c r="J3" s="16" t="s">
        <v>840</v>
      </c>
      <c r="K3" s="16"/>
      <c r="L3" s="16"/>
      <c r="M3" s="16"/>
      <c r="N3" s="16" t="s">
        <v>841</v>
      </c>
      <c r="O3" s="16"/>
      <c r="P3" s="16" t="s">
        <v>843</v>
      </c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 t="s">
        <v>848</v>
      </c>
      <c r="AC3" s="16">
        <v>15</v>
      </c>
      <c r="AD3" s="16"/>
      <c r="AE3" s="16"/>
      <c r="AF3" s="16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S1,S3,CHAR(10), U1,U3,CHAR(10), V1,V3,CHAR(10), W1,W3,CHAR(10), X1,X3,CHAR(10), Y1,Y3,CHAR(10), Z1,Z3,CHAR(10), AA1,AA3,CHAR(10), AB1,AB3,CHAR(10), AC1,AC3,CHAR(10), AD1,AD3,CHAR(10), )</f>
        <v xml:space="preserve">Рабочее напряжение:220В – 240 В 50/60 Гц
Питание:2 х 2600 Вт
Тип цоколя лампы:
Источник(и) света:8 лампы-фары DWE 650 Вт
Тип лампы:
Мощность LED лампы:
Цветовая температура:
Угол раскрытия луча:Однородный
Угол панарамы:
Ширина луча:
Гидромониторное расстояние:
Управление:DMX
Каналов DMX:
Диммер:0-100%
Gobo:
Электронная диафрагма:
Цветовой диск с 8 цветами:
Световой поток:
Световой КПД:
Строб:
Светодиод:
Рабочая температура:
Фокусировка:
CRI (Ra&gt;):
Габариты:740x360x125 мм
Вес(kg):15
Особенности:
</v>
      </c>
      <c r="AG3" s="23">
        <v>24900</v>
      </c>
      <c r="AH3" s="72" t="s">
        <v>1827</v>
      </c>
      <c r="AI3" s="72" t="str">
        <f t="shared" ref="AI3:AI46" si="0">B3</f>
        <v xml:space="preserve">MCF 8 DWE 650W Блиндер-панель </v>
      </c>
      <c r="AJ3" s="72" t="str">
        <f t="shared" ref="AJ3:AJ46" si="1">AI3</f>
        <v xml:space="preserve">MCF 8 DWE 650W Блиндер-панель </v>
      </c>
      <c r="AK3" s="72" t="s">
        <v>1840</v>
      </c>
      <c r="AM3" s="72" t="s">
        <v>1837</v>
      </c>
      <c r="AN3" s="72" t="s">
        <v>1841</v>
      </c>
      <c r="AO3" s="72" t="s">
        <v>1842</v>
      </c>
      <c r="AP3" s="72" t="s">
        <v>1843</v>
      </c>
      <c r="AQ3" s="72" t="s">
        <v>1844</v>
      </c>
      <c r="AR3" s="72" t="s">
        <v>1837</v>
      </c>
    </row>
    <row r="4" spans="1:45" s="15" customFormat="1" ht="59.25" customHeight="1" x14ac:dyDescent="0.25">
      <c r="A4" s="48">
        <v>3</v>
      </c>
      <c r="B4" s="14" t="s">
        <v>1013</v>
      </c>
      <c r="C4" s="16" t="s">
        <v>835</v>
      </c>
      <c r="D4" s="16" t="s">
        <v>849</v>
      </c>
      <c r="E4" s="16"/>
      <c r="F4" s="16" t="s">
        <v>850</v>
      </c>
      <c r="G4" s="16"/>
      <c r="H4" s="16"/>
      <c r="I4" s="16"/>
      <c r="J4" s="16" t="s">
        <v>840</v>
      </c>
      <c r="K4" s="16"/>
      <c r="L4" s="16"/>
      <c r="M4" s="16"/>
      <c r="N4" s="16" t="s">
        <v>841</v>
      </c>
      <c r="O4" s="16">
        <v>6</v>
      </c>
      <c r="P4" s="16" t="s">
        <v>843</v>
      </c>
      <c r="Q4" s="16"/>
      <c r="R4" s="16"/>
      <c r="S4" s="16"/>
      <c r="T4" s="16"/>
      <c r="U4" s="16"/>
      <c r="V4" s="16"/>
      <c r="W4" s="16"/>
      <c r="X4" s="16" t="s">
        <v>853</v>
      </c>
      <c r="Y4" s="16"/>
      <c r="Z4" s="16"/>
      <c r="AA4" s="16"/>
      <c r="AB4" s="16" t="s">
        <v>854</v>
      </c>
      <c r="AC4" s="16">
        <v>14</v>
      </c>
      <c r="AD4" s="1" t="s">
        <v>1014</v>
      </c>
      <c r="AE4" s="1"/>
      <c r="AF4" s="1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S1,S4,CHAR(10), U1,U4,CHAR(10), V1,V4,CHAR(10), W1,W4,CHAR(10), X1,X4,CHAR(10), Y1,Y4,CHAR(10), Z1,Z4,CHAR(10), AA1,AA4,CHAR(10), AB1,AB4,CHAR(10), AC1,AC4,CHAR(10), AD1,AD4,CHAR(10), )</f>
        <v xml:space="preserve">Рабочее напряжение:220В – 240 В 50/60 Гц
Питание:320 Вт
Тип цоколя лампы:
Источник(и) света:LED 72 x 3 Вт (R24,G24,B24)
Тип лампы:
Мощность LED лампы:
Цветовая температура:
Угол раскрытия луча:Однородный
Угол панарамы:
Ширина луча:
Гидромониторное расстояние:
Управление:DMX
Каналов DMX:6
Диммер:0-100%
Gobo:
Электронная диафрагма:
Цветовой диск с 8 цветами:
Световой поток:
Световой КПД:
Строб:
Светодиод:50 000 часов работы
Рабочая температура:
Фокусировка:
CRI (Ra&gt;):
Габариты:102x283x102 мм
Вес(kg):14
Особенности:Автозапуск; Звуковая активация; Крепежная лира в комплекте
</v>
      </c>
      <c r="AG4" s="23">
        <v>17900</v>
      </c>
      <c r="AH4" s="72" t="s">
        <v>1827</v>
      </c>
      <c r="AI4" s="72" t="str">
        <f t="shared" si="0"/>
        <v>MCF LED 4 PAR RGB Светодиодная панель</v>
      </c>
      <c r="AJ4" s="72" t="str">
        <f t="shared" si="1"/>
        <v>MCF LED 4 PAR RGB Светодиодная панель</v>
      </c>
      <c r="AK4" s="72" t="s">
        <v>1840</v>
      </c>
      <c r="AM4" s="72" t="s">
        <v>1837</v>
      </c>
      <c r="AN4" s="72" t="s">
        <v>1841</v>
      </c>
      <c r="AO4" s="72" t="s">
        <v>1842</v>
      </c>
      <c r="AP4" s="72" t="s">
        <v>1843</v>
      </c>
      <c r="AQ4" s="72" t="s">
        <v>1844</v>
      </c>
      <c r="AR4" s="72" t="s">
        <v>1837</v>
      </c>
    </row>
    <row r="5" spans="1:45" s="15" customFormat="1" ht="59.25" customHeight="1" x14ac:dyDescent="0.25">
      <c r="A5" s="48">
        <v>4</v>
      </c>
      <c r="B5" s="12" t="s">
        <v>1015</v>
      </c>
      <c r="C5" s="16" t="s">
        <v>835</v>
      </c>
      <c r="D5" s="16" t="s">
        <v>855</v>
      </c>
      <c r="E5" s="16"/>
      <c r="F5" s="16" t="s">
        <v>856</v>
      </c>
      <c r="G5" s="16"/>
      <c r="H5" s="16"/>
      <c r="I5" s="16"/>
      <c r="J5" s="16" t="s">
        <v>840</v>
      </c>
      <c r="K5" s="16"/>
      <c r="L5" s="16"/>
      <c r="M5" s="16"/>
      <c r="N5" s="16" t="s">
        <v>841</v>
      </c>
      <c r="O5" s="16">
        <v>14</v>
      </c>
      <c r="P5" s="16" t="s">
        <v>857</v>
      </c>
      <c r="Q5" s="16"/>
      <c r="R5" s="16"/>
      <c r="S5" s="16"/>
      <c r="T5" s="16"/>
      <c r="U5" s="16"/>
      <c r="V5" s="16"/>
      <c r="W5" s="16"/>
      <c r="X5" s="16" t="s">
        <v>853</v>
      </c>
      <c r="Y5" s="16"/>
      <c r="Z5" s="16"/>
      <c r="AA5" s="16"/>
      <c r="AB5" s="16" t="s">
        <v>848</v>
      </c>
      <c r="AC5" s="16">
        <v>24</v>
      </c>
      <c r="AD5" s="15" t="s">
        <v>1014</v>
      </c>
      <c r="AF5" s="15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S1,S5,CHAR(10), U1,U5,CHAR(10), V1,V5,CHAR(10), W1,W5,CHAR(10), X1,X5,CHAR(10), Y1,Y5,CHAR(10), Z1,Z5,CHAR(10), AA1,AA5,CHAR(10), AB1,AB5,CHAR(10), AC1,AC5,CHAR(10), AD1,AD5,CHAR(10), )</f>
        <v xml:space="preserve">Рабочее напряжение:220В – 240 В 50/60 Гц
Питание:550 Вт
Тип цоколя лампы:
Источник(и) света:LED 144 x3 Вт (R48,G48,B48)
Тип лампы:
Мощность LED лампы:
Цветовая температура:
Угол раскрытия луча:Однородный
Угол панарамы:
Ширина луча:
Гидромониторное расстояние:
Управление:DMX
Каналов DMX:14
Диммер:0-100 %
Gobo:
Электронная диафрагма:
Цветовой диск с 8 цветами:
Световой поток:
Световой КПД:
Строб:
Светодиод:50 000 часов работы
Рабочая температура:
Фокусировка:
CRI (Ra&gt;):
Габариты:740x360x125 мм
Вес(kg):24
Особенности:Автозапуск; Звуковая активация; Крепежная лира в комплекте
</v>
      </c>
      <c r="AG5" s="23">
        <v>24900</v>
      </c>
      <c r="AH5" s="72" t="s">
        <v>1827</v>
      </c>
      <c r="AI5" s="72" t="str">
        <f t="shared" si="0"/>
        <v>MCF LED 8 PAR RGB Светодиодная панель</v>
      </c>
      <c r="AJ5" s="72" t="str">
        <f t="shared" si="1"/>
        <v>MCF LED 8 PAR RGB Светодиодная панель</v>
      </c>
      <c r="AK5" s="72" t="s">
        <v>1840</v>
      </c>
      <c r="AM5" s="72" t="s">
        <v>1837</v>
      </c>
      <c r="AN5" s="72" t="s">
        <v>1841</v>
      </c>
      <c r="AO5" s="72" t="s">
        <v>1842</v>
      </c>
      <c r="AP5" s="72" t="s">
        <v>1843</v>
      </c>
      <c r="AQ5" s="72" t="s">
        <v>1844</v>
      </c>
      <c r="AR5" s="72" t="s">
        <v>1837</v>
      </c>
    </row>
    <row r="6" spans="1:45" s="15" customFormat="1" ht="59.25" customHeight="1" x14ac:dyDescent="0.25">
      <c r="A6" s="48">
        <v>5</v>
      </c>
      <c r="B6" s="12" t="s">
        <v>1016</v>
      </c>
      <c r="C6" s="16" t="s">
        <v>835</v>
      </c>
      <c r="F6" s="16" t="s">
        <v>858</v>
      </c>
      <c r="G6" s="16"/>
      <c r="H6" s="16"/>
      <c r="I6" s="16"/>
      <c r="J6" s="16" t="s">
        <v>840</v>
      </c>
      <c r="K6" s="16"/>
      <c r="L6" s="16"/>
      <c r="M6" s="16"/>
      <c r="N6" s="16" t="s">
        <v>841</v>
      </c>
      <c r="O6" s="16">
        <v>7</v>
      </c>
      <c r="P6" s="16" t="s">
        <v>843</v>
      </c>
      <c r="Q6" s="16"/>
      <c r="R6" s="16"/>
      <c r="S6" s="16"/>
      <c r="T6" s="16"/>
      <c r="U6" s="16"/>
      <c r="V6" s="16"/>
      <c r="W6" s="16"/>
      <c r="X6" s="16" t="s">
        <v>853</v>
      </c>
      <c r="Y6" s="16"/>
      <c r="Z6" s="16"/>
      <c r="AA6" s="16"/>
      <c r="AB6" s="16" t="s">
        <v>859</v>
      </c>
      <c r="AC6" s="16">
        <v>16</v>
      </c>
      <c r="AD6" s="15" t="s">
        <v>1017</v>
      </c>
      <c r="AE6" s="16" t="s">
        <v>855</v>
      </c>
      <c r="AF6" s="16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S1,S6,CHAR(10), U1,U6,CHAR(10), V1,V6,CHAR(10), W1,W6,CHAR(10), X1,X6,CHAR(10), Y1,Y6,CHAR(10), Z1,Z6,CHAR(10), AA1,AA6,CHAR(10), AB1,AB6,CHAR(10), AC1,AC6,CHAR(10), AD1,AD6,CHAR(10), )</f>
        <v xml:space="preserve">Рабочее напряжение:220В – 240 В 50/60 Гц
Питание:
Тип цоколя лампы:
Источник(и) света:LED 108х3Вт (RGBW)
Тип лампы:
Мощность LED лампы:
Цветовая температура:
Угол раскрытия луча:Однородный
Угол панарамы:
Ширина луча:
Гидромониторное расстояние:
Управление:DMX
Каналов DMX:7
Диммер:0-100%
Gobo:
Электронная диафрагма:
Цветовой диск с 8 цветами:
Световой поток:
Световой КПД:
Строб:
Светодиод:50 000 часов работы
Рабочая температура:
Фокусировка:
CRI (Ra&gt;):
Габариты:760x300x440 мм
Вес(kg):16
Особенности:Автозапуск; Звуковая активация; 4-кнопочный цифровой дисплей
</v>
      </c>
      <c r="AG6" s="23">
        <v>29900</v>
      </c>
      <c r="AH6" s="72" t="s">
        <v>1827</v>
      </c>
      <c r="AI6" s="72" t="str">
        <f t="shared" si="0"/>
        <v>MCF Led Par Front 324W RGBW Светодиодная панель</v>
      </c>
      <c r="AJ6" s="72" t="str">
        <f t="shared" si="1"/>
        <v>MCF Led Par Front 324W RGBW Светодиодная панель</v>
      </c>
      <c r="AK6" s="72" t="s">
        <v>1840</v>
      </c>
      <c r="AM6" s="72" t="s">
        <v>1837</v>
      </c>
      <c r="AN6" s="72" t="s">
        <v>1841</v>
      </c>
      <c r="AO6" s="72" t="s">
        <v>1842</v>
      </c>
      <c r="AP6" s="72" t="s">
        <v>1843</v>
      </c>
      <c r="AQ6" s="72" t="s">
        <v>1844</v>
      </c>
      <c r="AR6" s="72" t="s">
        <v>1837</v>
      </c>
    </row>
    <row r="7" spans="1:45" s="15" customFormat="1" ht="59.25" customHeight="1" x14ac:dyDescent="0.25">
      <c r="A7" s="48">
        <v>6</v>
      </c>
      <c r="B7" s="12" t="s">
        <v>1018</v>
      </c>
      <c r="C7" s="16" t="s">
        <v>835</v>
      </c>
      <c r="D7" s="16" t="s">
        <v>349</v>
      </c>
      <c r="E7" s="16"/>
      <c r="F7" s="16" t="s">
        <v>860</v>
      </c>
      <c r="G7" s="16"/>
      <c r="H7" s="16"/>
      <c r="I7" s="16"/>
      <c r="J7" s="16" t="s">
        <v>861</v>
      </c>
      <c r="K7" s="16"/>
      <c r="L7" s="16"/>
      <c r="M7" s="16"/>
      <c r="N7" s="16" t="s">
        <v>841</v>
      </c>
      <c r="O7" s="16">
        <v>8</v>
      </c>
      <c r="P7" s="16" t="s">
        <v>843</v>
      </c>
      <c r="Q7" s="16"/>
      <c r="R7" s="16"/>
      <c r="S7" s="16"/>
      <c r="T7" s="16"/>
      <c r="U7" s="16"/>
      <c r="V7" s="16"/>
      <c r="W7" s="16" t="s">
        <v>863</v>
      </c>
      <c r="X7" s="16" t="s">
        <v>853</v>
      </c>
      <c r="Y7" s="16"/>
      <c r="Z7" s="16"/>
      <c r="AA7" s="16"/>
      <c r="AB7" s="16" t="s">
        <v>864</v>
      </c>
      <c r="AC7" s="16">
        <v>17</v>
      </c>
      <c r="AD7" s="15" t="s">
        <v>1019</v>
      </c>
      <c r="AF7" s="15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S1,S7,CHAR(10), U1,U7,CHAR(10), V1,V7,CHAR(10), W1,W7,CHAR(10), X1,X7,CHAR(10), Y1,Y7,CHAR(10), Z1,Z7,CHAR(10), AA1,AA7,CHAR(10), AB1,AB7,CHAR(10), AC1,AC7,CHAR(10), AD1,AD7,CHAR(10), )</f>
        <v xml:space="preserve">Рабочее напряжение:220В – 240 В 50/60 Гц
Питание:800 Вт
Тип цоколя лампы:
Источник(и) света:LED 25x10W RGB
Тип лампы:
Мощность LED лампы:
Цветовая температура:
Угол раскрытия луча:38 °
Угол панарамы:
Ширина луча:
Гидромониторное расстояние:
Управление:DMX
Каналов DMX:8
Диммер:0-100%
Gobo:
Электронная диафрагма:
Цветовой диск с 8 цветами:
Световой поток:
Световой КПД:
Строб:1 - 30 вспышек в секунду
Светодиод:50 000 часов работы
Рабочая температура:
Фокусировка:
CRI (Ra&gt;):
Габариты:575x575x115 мм
Вес(kg):17
Особенности:100 встроенных программ;  Влагозащита: IP20дисплей; Цветопередачи (CRI): Ra&gt; 80- XLR 3Pin или XLR 5Pin
</v>
      </c>
      <c r="AG7" s="23">
        <v>29900</v>
      </c>
      <c r="AH7" s="72" t="s">
        <v>1827</v>
      </c>
      <c r="AI7" s="72" t="str">
        <f t="shared" si="0"/>
        <v>MCF LED 25x10W RGB Светодиодная панель</v>
      </c>
      <c r="AJ7" s="72" t="str">
        <f t="shared" si="1"/>
        <v>MCF LED 25x10W RGB Светодиодная панель</v>
      </c>
      <c r="AK7" s="72" t="s">
        <v>1840</v>
      </c>
      <c r="AM7" s="72" t="s">
        <v>1837</v>
      </c>
      <c r="AN7" s="72" t="s">
        <v>1841</v>
      </c>
      <c r="AO7" s="72" t="s">
        <v>1842</v>
      </c>
      <c r="AP7" s="72" t="s">
        <v>1843</v>
      </c>
      <c r="AQ7" s="72" t="s">
        <v>1844</v>
      </c>
      <c r="AR7" s="72" t="s">
        <v>1837</v>
      </c>
    </row>
    <row r="8" spans="1:45" s="15" customFormat="1" ht="59.25" customHeight="1" x14ac:dyDescent="0.25">
      <c r="A8" s="48">
        <v>7</v>
      </c>
      <c r="B8" s="85" t="s">
        <v>865</v>
      </c>
      <c r="C8" s="16" t="s">
        <v>835</v>
      </c>
      <c r="D8" s="16" t="s">
        <v>866</v>
      </c>
      <c r="E8" s="16"/>
      <c r="F8" s="16" t="s">
        <v>867</v>
      </c>
      <c r="G8" s="16"/>
      <c r="H8" s="16"/>
      <c r="I8" s="16"/>
      <c r="J8" s="16" t="s">
        <v>1043</v>
      </c>
      <c r="K8" s="16"/>
      <c r="L8" s="16"/>
      <c r="M8" s="16"/>
      <c r="N8" s="16" t="s">
        <v>868</v>
      </c>
      <c r="O8" s="16">
        <v>6</v>
      </c>
      <c r="P8" s="16" t="s">
        <v>843</v>
      </c>
      <c r="Q8" s="16"/>
      <c r="R8" s="16"/>
      <c r="S8" s="16"/>
      <c r="T8" s="16"/>
      <c r="U8" s="16"/>
      <c r="V8" s="16"/>
      <c r="W8" s="16" t="s">
        <v>869</v>
      </c>
      <c r="X8" s="16" t="s">
        <v>853</v>
      </c>
      <c r="Y8" s="16"/>
      <c r="Z8" s="16"/>
      <c r="AA8" s="16"/>
      <c r="AB8" s="16" t="s">
        <v>870</v>
      </c>
      <c r="AC8" s="16">
        <v>2.2999999999999998</v>
      </c>
      <c r="AF8" s="15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S1,S8,CHAR(10), U1,U8,CHAR(10), V1,V8,CHAR(10), W1,W8,CHAR(10), X1,X8,CHAR(10), Y1,Y8,CHAR(10), Z1,Z8,CHAR(10), AA1,AA8,CHAR(10), AB1,AB8,CHAR(10), AC1,AC8,CHAR(10), AD1,AD8,CHAR(10), )</f>
        <v xml:space="preserve">Рабочее напряжение:220В – 240 В 50/60 Гц
Питание:165 Вт
Тип цоколя лампы:
Источник(и) света:LED 1x100W тёплый белый
Тип лампы:
Мощность LED лампы:
Цветовая температура:
Угол раскрытия луча:35-70°(внутренняя колба по запросу клиента)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 – 20 вспышек в секунду
Светодиод:50 000 часов работы
Рабочая температура:
Фокусировка:
CRI (Ra&gt;):
Габариты:220x305x325 мм
Вес(kg):2.3
Особенности:
</v>
      </c>
      <c r="AG8" s="23">
        <v>12900</v>
      </c>
      <c r="AH8" s="72" t="s">
        <v>1827</v>
      </c>
      <c r="AI8" s="72" t="str">
        <f t="shared" si="0"/>
        <v>MCF LED COBPAR 100W</v>
      </c>
      <c r="AJ8" s="72" t="str">
        <f t="shared" si="1"/>
        <v>MCF LED COBPAR 100W</v>
      </c>
      <c r="AK8" s="72" t="s">
        <v>1840</v>
      </c>
      <c r="AM8" s="72" t="s">
        <v>1837</v>
      </c>
      <c r="AN8" s="72" t="s">
        <v>1841</v>
      </c>
      <c r="AO8" s="72" t="s">
        <v>1842</v>
      </c>
      <c r="AP8" s="72" t="s">
        <v>1843</v>
      </c>
      <c r="AQ8" s="72" t="s">
        <v>1844</v>
      </c>
      <c r="AR8" s="72" t="s">
        <v>1837</v>
      </c>
    </row>
    <row r="9" spans="1:45" s="15" customFormat="1" ht="59.25" customHeight="1" x14ac:dyDescent="0.25">
      <c r="A9" s="48">
        <v>8</v>
      </c>
      <c r="B9" s="84" t="s">
        <v>1020</v>
      </c>
      <c r="C9" s="16" t="s">
        <v>835</v>
      </c>
      <c r="D9" s="16" t="s">
        <v>567</v>
      </c>
      <c r="E9" s="16"/>
      <c r="F9" s="16" t="s">
        <v>871</v>
      </c>
      <c r="G9" s="16"/>
      <c r="H9" s="16"/>
      <c r="I9" s="16"/>
      <c r="N9" s="16" t="s">
        <v>868</v>
      </c>
      <c r="O9" s="16">
        <v>6</v>
      </c>
      <c r="P9" s="16" t="s">
        <v>843</v>
      </c>
      <c r="Q9" s="16"/>
      <c r="R9" s="16"/>
      <c r="S9" s="16"/>
      <c r="T9" s="16"/>
      <c r="U9" s="16"/>
      <c r="V9" s="16"/>
      <c r="W9" s="16" t="s">
        <v>869</v>
      </c>
      <c r="X9" s="16" t="s">
        <v>853</v>
      </c>
      <c r="Y9" s="16"/>
      <c r="Z9" s="16"/>
      <c r="AA9" s="16"/>
      <c r="AB9" s="16" t="s">
        <v>872</v>
      </c>
      <c r="AC9" s="16">
        <v>2.2999999999999998</v>
      </c>
      <c r="AD9" s="16" t="s">
        <v>1021</v>
      </c>
      <c r="AF9" s="15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S1,S9,CHAR(10), U1,U9,CHAR(10), V1,V9,CHAR(10), W1,W9,CHAR(10), X1,X9,CHAR(10), Y1,Y9,CHAR(10), Z1,Z9,CHAR(10), AA1,AA9,CHAR(10), AB1,AB9,CHAR(10), AC1,AC9,CHAR(10), AD1,AD9,CHAR(10), )</f>
        <v xml:space="preserve">Рабочее напряжение:220В – 240 В 50/60 Гц
Питание:180 Вт
Тип цоколя лампы:
Источник(и) света:LED 54x3W
Тип лампы:
Мощность LED лампы:
Цветовая температура:
Угол раскрытия луча: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 – 20 вспышек в секунду
Светодиод:50 000 часов работы
Рабочая температура:
Фокусировка:
CRI (Ra&gt;):
Габариты:260x220x300 мм
Вес(kg):2.3
Особенности:Влагозащита: IP65
</v>
      </c>
      <c r="AG9" s="23">
        <v>9900</v>
      </c>
      <c r="AH9" s="72" t="s">
        <v>1827</v>
      </c>
      <c r="AI9" s="72" t="str">
        <f t="shared" si="0"/>
        <v>MCF LED Par 162W RGBW multi Светодиодный прожектор</v>
      </c>
      <c r="AJ9" s="72" t="str">
        <f t="shared" si="1"/>
        <v>MCF LED Par 162W RGBW multi Светодиодный прожектор</v>
      </c>
      <c r="AK9" s="72" t="s">
        <v>1840</v>
      </c>
      <c r="AM9" s="72" t="s">
        <v>1837</v>
      </c>
      <c r="AN9" s="72" t="s">
        <v>1841</v>
      </c>
      <c r="AO9" s="72" t="s">
        <v>1842</v>
      </c>
      <c r="AP9" s="72" t="s">
        <v>1843</v>
      </c>
      <c r="AQ9" s="72" t="s">
        <v>1844</v>
      </c>
      <c r="AR9" s="72" t="s">
        <v>1837</v>
      </c>
    </row>
    <row r="10" spans="1:45" s="15" customFormat="1" ht="59.25" customHeight="1" x14ac:dyDescent="0.25">
      <c r="A10" s="48">
        <v>9</v>
      </c>
      <c r="B10" s="84" t="s">
        <v>1022</v>
      </c>
      <c r="C10" s="16" t="s">
        <v>835</v>
      </c>
      <c r="D10" s="16" t="s">
        <v>873</v>
      </c>
      <c r="E10" s="16"/>
      <c r="F10" s="16" t="s">
        <v>874</v>
      </c>
      <c r="G10" s="16"/>
      <c r="H10" s="16"/>
      <c r="I10" s="16"/>
      <c r="J10" s="16" t="s">
        <v>875</v>
      </c>
      <c r="K10" s="16"/>
      <c r="L10" s="16"/>
      <c r="M10" s="16"/>
      <c r="N10" s="16" t="s">
        <v>868</v>
      </c>
      <c r="O10" s="16">
        <v>8</v>
      </c>
      <c r="P10" s="16" t="s">
        <v>843</v>
      </c>
      <c r="Q10" s="16"/>
      <c r="R10" s="16"/>
      <c r="S10" s="16"/>
      <c r="T10" s="16"/>
      <c r="U10" s="16"/>
      <c r="V10" s="16"/>
      <c r="W10" s="16" t="s">
        <v>869</v>
      </c>
      <c r="X10" s="16" t="s">
        <v>853</v>
      </c>
      <c r="Y10" s="16"/>
      <c r="Z10" s="16"/>
      <c r="AA10" s="16"/>
      <c r="AB10" s="16" t="s">
        <v>872</v>
      </c>
      <c r="AC10" s="16" t="s">
        <v>1866</v>
      </c>
      <c r="AD10" s="16" t="s">
        <v>1023</v>
      </c>
      <c r="AF10" s="15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S1,S10,CHAR(10), U1,U10,CHAR(10), V1,V10,CHAR(10), W1,W10,CHAR(10), X1,X10,CHAR(10), Y1,Y10,CHAR(10), Z1,Z10,CHAR(10), AA1,AA10,CHAR(10), AB1,AB10,CHAR(10), AC1,AC10,CHAR(10), AD1,AD10,CHAR(10), )</f>
        <v xml:space="preserve">Рабочее напряжение:220В – 240 В 50/60 Гц
Питание:160 Вт
Тип цоколя лампы:
Источник(и) света:LED 54x3W Multi
Тип лампы:
Мощность LED лампы:
Цветовая температура:
Угол раскрытия луча:12°- 35°
Угол панарамы:
Ширина луча:
Гидромониторное расстояние:
Управление:DMX, Звуковая активация, авто режим (Master / Slave)
Каналов DMX:8
Диммер:0-100%
Gobo:
Электронная диафрагма:
Цветовой диск с 8 цветами:
Световой поток:
Световой КПД:
Строб:1 – 20 вспышек в секунду
Светодиод:50 000 часов работы
Рабочая температура:
Фокусировка:
CRI (Ra&gt;):
Габариты:260x220x300 мм
Вес(kg):2,5
Особенности:electronicZoom
</v>
      </c>
      <c r="AG10" s="23">
        <v>17900</v>
      </c>
      <c r="AH10" s="72" t="s">
        <v>1827</v>
      </c>
      <c r="AI10" s="72" t="str">
        <f t="shared" si="0"/>
        <v>MCF Led Par 162W  Multi ZOOM Светодиодная панель</v>
      </c>
      <c r="AJ10" s="72" t="str">
        <f t="shared" si="1"/>
        <v>MCF Led Par 162W  Multi ZOOM Светодиодная панель</v>
      </c>
      <c r="AK10" s="72" t="s">
        <v>1840</v>
      </c>
      <c r="AM10" s="72" t="s">
        <v>1837</v>
      </c>
      <c r="AN10" s="72" t="s">
        <v>1841</v>
      </c>
      <c r="AO10" s="72" t="s">
        <v>1842</v>
      </c>
      <c r="AP10" s="72" t="s">
        <v>1843</v>
      </c>
      <c r="AQ10" s="72" t="s">
        <v>1844</v>
      </c>
      <c r="AR10" s="72" t="s">
        <v>1837</v>
      </c>
    </row>
    <row r="11" spans="1:45" s="15" customFormat="1" ht="59.25" customHeight="1" x14ac:dyDescent="0.25">
      <c r="A11" s="48">
        <v>10</v>
      </c>
      <c r="B11" s="84" t="s">
        <v>1024</v>
      </c>
      <c r="C11" s="16" t="s">
        <v>876</v>
      </c>
      <c r="D11" s="16" t="s">
        <v>877</v>
      </c>
      <c r="E11" s="16"/>
      <c r="F11" s="16" t="s">
        <v>878</v>
      </c>
      <c r="G11" s="16"/>
      <c r="H11" s="16"/>
      <c r="I11" s="16"/>
      <c r="N11" s="16" t="s">
        <v>868</v>
      </c>
      <c r="O11" s="16">
        <v>6</v>
      </c>
      <c r="X11" s="16" t="s">
        <v>853</v>
      </c>
      <c r="Y11" s="16"/>
      <c r="Z11" s="16"/>
      <c r="AA11" s="16"/>
      <c r="AB11" s="16" t="s">
        <v>879</v>
      </c>
      <c r="AC11" s="16" t="s">
        <v>1867</v>
      </c>
      <c r="AD11" s="15" t="s">
        <v>1025</v>
      </c>
      <c r="AF11" s="15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S1,S11,CHAR(10), U1,U11,CHAR(10), V1,V11,CHAR(10), W1,W11,CHAR(10), X1,X11,CHAR(10), Y1,Y11,CHAR(10), Z1,Z11,CHAR(10), AA1,AA11,CHAR(10), AB1,AB11,CHAR(10), AC1,AC11,CHAR(10), AD1,AD11,CHAR(10), )</f>
        <v xml:space="preserve">Рабочее напряжение:220В – 240 В 50/60 Гц /60 Гц
Питание:54 Вт
Тип цоколя лампы:
Источник(и) света:LED 18x3W multi
Тип лампы:
Мощность LED лампы:
Цветовая температура:
Угол раскрытия луча:
Угол панарамы:
Ширина луча:
Гидромониторное расстояние:
Управление:DMX, Звуковая активация, авто режим (Master / Slave)
Каналов DMX:6
Диммер:
Gobo:
Электронная диафрагма:
Цветовой диск с 8 цветами:
Световой поток:
Световой КПД:
Строб:
Светодиод:50 000 часов работы
Рабочая температура:
Фокусировка:
CRI (Ra&gt;):
Габариты:179x179x200 мм
Вес(kg):0,8
Особенности:Мощная охлаждающая система; Влагозащита: IP44
</v>
      </c>
      <c r="AG11" s="23">
        <v>5900</v>
      </c>
      <c r="AH11" s="72" t="s">
        <v>1827</v>
      </c>
      <c r="AI11" s="72" t="str">
        <f t="shared" si="0"/>
        <v>MCFLEDPar 54WRGB Светодиодный прожектор</v>
      </c>
      <c r="AJ11" s="72" t="str">
        <f t="shared" si="1"/>
        <v>MCFLEDPar 54WRGB Светодиодный прожектор</v>
      </c>
      <c r="AK11" s="72" t="s">
        <v>1840</v>
      </c>
      <c r="AM11" s="72" t="s">
        <v>1837</v>
      </c>
      <c r="AN11" s="72" t="s">
        <v>1841</v>
      </c>
      <c r="AO11" s="72" t="s">
        <v>1842</v>
      </c>
      <c r="AP11" s="72" t="s">
        <v>1843</v>
      </c>
      <c r="AQ11" s="72" t="s">
        <v>1844</v>
      </c>
      <c r="AR11" s="72" t="s">
        <v>1837</v>
      </c>
    </row>
    <row r="12" spans="1:45" s="15" customFormat="1" ht="59.25" customHeight="1" x14ac:dyDescent="0.25">
      <c r="A12" s="48">
        <v>11</v>
      </c>
      <c r="B12" s="12" t="s">
        <v>1865</v>
      </c>
      <c r="G12" s="16" t="s">
        <v>882</v>
      </c>
      <c r="H12" s="16" t="s">
        <v>587</v>
      </c>
      <c r="I12" s="16"/>
      <c r="L12" s="16" t="s">
        <v>885</v>
      </c>
      <c r="M12" s="16"/>
      <c r="S12" s="16" t="s">
        <v>887</v>
      </c>
      <c r="T12" s="16"/>
      <c r="U12" s="16"/>
      <c r="V12" s="16"/>
      <c r="AB12" s="19" t="s">
        <v>888</v>
      </c>
      <c r="AC12" s="19" t="s">
        <v>1868</v>
      </c>
      <c r="AD12" s="16" t="s">
        <v>1026</v>
      </c>
      <c r="AE12" s="16" t="s">
        <v>880</v>
      </c>
      <c r="AF12" s="16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S1,S12,CHAR(10), U1,U12,CHAR(10), V1,V12,CHAR(10), W1,W12,CHAR(10), X1,X12,CHAR(10), Y1,Y12,CHAR(10), Z1,Z12,CHAR(10), AA1,AA12,CHAR(10), AB1,AB12,CHAR(10), AC1,AC12,CHAR(10), AD1,AD12,CHAR(10), )</f>
        <v xml:space="preserve">Рабочее напряжение:
Питание:
Тип цоколя лампы:
Источник(и) света:
Тип лампы:светодиодный
Мощность LED лампы:350 Вт
Цветовая температура:
Угол раскрытия луча:
Угол панарамы:
Ширина луча:14° - 30°
Гидромониторное расстояние:
Управление:
Каналов DMX:
Диммер:
Gobo:
Электронная диафрагма:
Цветовой диск с 8 цветами:3 белых тона от холодного до теплого белого, желтого цвета, янтарный, красный, зелёный и синий.
Световой поток:
Световой КПД:
Строб:
Светодиод:
Рабочая температура:
Фокусировка:
CRI (Ra&gt;):
Габариты:630х210х170 мм
Вес(kg):8,9
Особенности:LED прожектор следящего света сопоставим с лампой Osram 280WИнтегрированная панельВручную корректируемое изменение масштаба от 14° до 30°Вручную корректируемый фокусВручную корректируемый Iris
</v>
      </c>
      <c r="AG12" s="15">
        <v>44900</v>
      </c>
      <c r="AH12" s="72" t="s">
        <v>1827</v>
      </c>
      <c r="AI12" s="72" t="str">
        <f t="shared" si="0"/>
        <v>MCF LED 350W Пушка слежения</v>
      </c>
      <c r="AJ12" s="72" t="str">
        <f t="shared" si="1"/>
        <v>MCF LED 350W Пушка слежения</v>
      </c>
      <c r="AK12" s="72" t="s">
        <v>1840</v>
      </c>
      <c r="AM12" s="72" t="s">
        <v>1837</v>
      </c>
      <c r="AN12" s="72" t="s">
        <v>1841</v>
      </c>
      <c r="AO12" s="72" t="s">
        <v>1842</v>
      </c>
      <c r="AP12" s="72" t="s">
        <v>1843</v>
      </c>
      <c r="AQ12" s="72" t="s">
        <v>1844</v>
      </c>
      <c r="AR12" s="72" t="s">
        <v>1837</v>
      </c>
    </row>
    <row r="13" spans="1:45" s="15" customFormat="1" ht="59.25" customHeight="1" x14ac:dyDescent="0.25">
      <c r="A13" s="48">
        <v>12</v>
      </c>
      <c r="B13" s="12" t="s">
        <v>1027</v>
      </c>
      <c r="G13" s="16" t="s">
        <v>882</v>
      </c>
      <c r="H13" s="16" t="s">
        <v>559</v>
      </c>
      <c r="I13" s="16"/>
      <c r="L13" s="16" t="s">
        <v>885</v>
      </c>
      <c r="M13" s="16"/>
      <c r="S13" s="16" t="s">
        <v>887</v>
      </c>
      <c r="T13" s="16"/>
      <c r="U13" s="16"/>
      <c r="V13" s="16"/>
      <c r="X13" s="1"/>
      <c r="Y13" s="1"/>
      <c r="Z13" s="1"/>
      <c r="AA13" s="1"/>
      <c r="AB13" s="16" t="s">
        <v>888</v>
      </c>
      <c r="AC13" s="19" t="s">
        <v>1868</v>
      </c>
      <c r="AD13" s="1" t="s">
        <v>1028</v>
      </c>
      <c r="AE13" s="16" t="s">
        <v>563</v>
      </c>
      <c r="AF13" s="16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S1,S13,CHAR(10), U1,U13,CHAR(10), V1,V13,CHAR(10), W1,W13,CHAR(10), X1,X13,CHAR(10), Y1,Y13,CHAR(10), Z1,Z13,CHAR(10), AA1,AA13,CHAR(10), AB1,AB13,CHAR(10), AC1,AC13,CHAR(10), AD1,AD13,CHAR(10), )</f>
        <v xml:space="preserve">Рабочее напряжение:
Питание:
Тип цоколя лампы:
Источник(и) света:
Тип лампы:светодиодный
Мощность LED лампы:120 Вт
Цветовая температура:
Угол раскрытия луча:
Угол панарамы:
Ширина луча:14° - 30°
Гидромониторное расстояние:
Управление:
Каналов DMX:
Диммер:
Gobo:
Электронная диафрагма:
Цветовой диск с 8 цветами:3 белых тона от холодного до теплого белого, желтого цвета, янтарный, красный, зелёный и синий.
Световой поток:
Световой КПД:
Строб:
Светодиод:
Рабочая температура:
Фокусировка:
CRI (Ra&gt;):
Габариты:630х210х170 мм
Вес(kg):8,9
Особенности:LED прожектор следящего света сопоставим с лампой MS, D250/2 Вручную корректируемое изменение масштаба от 14° до 30°, Вручную корректируемый фокус, Вручную корректируемый Iris, Интегрированная панель
</v>
      </c>
      <c r="AG13" s="23">
        <v>34900</v>
      </c>
      <c r="AH13" s="72" t="s">
        <v>1827</v>
      </c>
      <c r="AI13" s="72" t="str">
        <f t="shared" si="0"/>
        <v>MCF LED 120W Прожектор следящего света</v>
      </c>
      <c r="AJ13" s="72" t="str">
        <f t="shared" si="1"/>
        <v>MCF LED 120W Прожектор следящего света</v>
      </c>
      <c r="AK13" s="72" t="s">
        <v>1840</v>
      </c>
      <c r="AM13" s="72" t="s">
        <v>1837</v>
      </c>
      <c r="AN13" s="72" t="s">
        <v>1841</v>
      </c>
      <c r="AO13" s="72" t="s">
        <v>1842</v>
      </c>
      <c r="AP13" s="72" t="s">
        <v>1843</v>
      </c>
      <c r="AQ13" s="72" t="s">
        <v>1844</v>
      </c>
      <c r="AR13" s="72" t="s">
        <v>1837</v>
      </c>
    </row>
    <row r="14" spans="1:45" s="15" customFormat="1" ht="59.25" customHeight="1" x14ac:dyDescent="0.25">
      <c r="A14" s="48">
        <v>13</v>
      </c>
      <c r="B14" s="12" t="s">
        <v>1029</v>
      </c>
      <c r="G14" s="16" t="s">
        <v>882</v>
      </c>
      <c r="H14" s="16" t="s">
        <v>563</v>
      </c>
      <c r="I14" s="16"/>
      <c r="L14" s="16" t="s">
        <v>885</v>
      </c>
      <c r="M14" s="16"/>
      <c r="S14" s="16" t="s">
        <v>887</v>
      </c>
      <c r="T14" s="16"/>
      <c r="U14" s="16"/>
      <c r="V14" s="16"/>
      <c r="X14" s="1"/>
      <c r="Y14" s="1"/>
      <c r="Z14" s="1"/>
      <c r="AA14" s="1"/>
      <c r="AB14" s="16" t="s">
        <v>888</v>
      </c>
      <c r="AC14" s="16" t="s">
        <v>1868</v>
      </c>
      <c r="AD14" s="1" t="s">
        <v>1030</v>
      </c>
      <c r="AE14" s="16" t="s">
        <v>567</v>
      </c>
      <c r="AF14" s="16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S1,S14,CHAR(10), U1,U14,CHAR(10), V1,V14,CHAR(10), W1,W14,CHAR(10), X1,X14,CHAR(10), Y1,Y14,CHAR(10), Z1,Z14,CHAR(10), AA1,AA14,CHAR(10), AB1,AB14,CHAR(10), AC1,AC14,CHAR(10), AD1,AD14,CHAR(10), )</f>
        <v xml:space="preserve">Рабочее напряжение:
Питание:
Тип цоколя лампы:
Источник(и) света:
Тип лампы:светодиодный
Мощность LED лампы:150 Вт
Цветовая температура:
Угол раскрытия луча:
Угол панарамы:
Ширина луча:14° - 30°
Гидромониторное расстояние:
Управление:
Каналов DMX:
Диммер:
Gobo:
Электронная диафрагма:
Цветовой диск с 8 цветами:3 белых тона от холодного до теплого белого, желтого цвета, янтарный, красный, зелёный и синий.
Световой поток:
Световой КПД:
Строб:
Светодиод:
Рабочая температура:
Фокусировка:
CRI (Ra&gt;):
Габариты:630х210х170 мм
Вес(kg):8,9
Особенности:LED прожектор следящего света сопоставим с лампой MS, D250/2, Вручную корректируемое изменение масштаба от 14° до 30°, Вручную корректируемый фокус, Вручную корректируемый Iris
</v>
      </c>
      <c r="AG14" s="23">
        <v>39900</v>
      </c>
      <c r="AH14" s="72" t="s">
        <v>1827</v>
      </c>
      <c r="AI14" s="72" t="str">
        <f t="shared" si="0"/>
        <v>MCFLED 150W Прожектор следящего света</v>
      </c>
      <c r="AJ14" s="72" t="str">
        <f t="shared" si="1"/>
        <v>MCFLED 150W Прожектор следящего света</v>
      </c>
      <c r="AK14" s="72" t="s">
        <v>1840</v>
      </c>
      <c r="AM14" s="72" t="s">
        <v>1837</v>
      </c>
      <c r="AN14" s="72" t="s">
        <v>1841</v>
      </c>
      <c r="AO14" s="72" t="s">
        <v>1842</v>
      </c>
      <c r="AP14" s="72" t="s">
        <v>1843</v>
      </c>
      <c r="AQ14" s="72" t="s">
        <v>1844</v>
      </c>
      <c r="AR14" s="72" t="s">
        <v>1837</v>
      </c>
    </row>
    <row r="15" spans="1:45" s="32" customFormat="1" ht="59.25" customHeight="1" x14ac:dyDescent="0.25">
      <c r="A15" s="56">
        <v>14</v>
      </c>
      <c r="B15" s="83" t="s">
        <v>1031</v>
      </c>
      <c r="E15" s="26" t="s">
        <v>890</v>
      </c>
      <c r="F15" s="55" t="s">
        <v>1032</v>
      </c>
      <c r="G15" s="26"/>
      <c r="H15" s="26"/>
      <c r="I15" s="26" t="s">
        <v>893</v>
      </c>
      <c r="L15" s="26"/>
      <c r="M15" s="26" t="s">
        <v>895</v>
      </c>
      <c r="R15" s="26" t="s">
        <v>899</v>
      </c>
      <c r="S15" s="26"/>
      <c r="T15" s="26" t="s">
        <v>897</v>
      </c>
      <c r="U15" s="26" t="s">
        <v>901</v>
      </c>
      <c r="V15" s="26" t="s">
        <v>903</v>
      </c>
      <c r="Y15" s="26" t="s">
        <v>906</v>
      </c>
      <c r="Z15" s="26"/>
      <c r="AA15" s="26">
        <v>15000</v>
      </c>
      <c r="AB15" s="26" t="s">
        <v>888</v>
      </c>
      <c r="AC15" s="26" t="s">
        <v>1869</v>
      </c>
      <c r="AE15" s="26" t="s">
        <v>891</v>
      </c>
      <c r="AF15" s="26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S1,S15,CHAR(10), U1,U15,CHAR(10), V1,V15,CHAR(10), W1,W15,CHAR(10), X1,X15,CHAR(10), Y1,Y15,CHAR(10), Z1,Z15,CHAR(10), AA1,AA15,CHAR(10), AB1,AB15,CHAR(10), AC1,AC15,CHAR(10), AD1,AD15,CHAR(10), )</f>
        <v xml:space="preserve">Рабочее напряжение:
Питание:
Тип цоколя лампы:линейный
Источник(и) света:Osram 230W (галогенная, нэльхром)
Тип лампы:
Мощность LED лампы:
Цветовая температура:3200К - 6000К
Угол раскрытия луча:
Угол панарамы:
Ширина луча:
Гидромониторное расстояние:до 50 метров
Управление:
Каналов DMX:
Диммер:
Gobo:
Электронная диафрагма:плавная
Цветовой диск с 8 цветами:
Световой поток:15000 лм
Световой КПД:15000 лм/Вт
Строб:
Светодиод:
Рабочая температура:-25 - +35°С
Фокусировка:
CRI (Ra&gt;):15000
Габариты:630х210х170 мм
Вес(kg):9,1
Особенности:
</v>
      </c>
      <c r="AG15" s="31">
        <v>34900</v>
      </c>
      <c r="AH15" s="72" t="s">
        <v>1827</v>
      </c>
      <c r="AI15" s="72" t="str">
        <f t="shared" si="0"/>
        <v>MCF Beam 230W Прожектор следящего света</v>
      </c>
      <c r="AJ15" s="72" t="str">
        <f t="shared" si="1"/>
        <v>MCF Beam 230W Прожектор следящего света</v>
      </c>
      <c r="AK15" s="72" t="s">
        <v>1840</v>
      </c>
      <c r="AM15" s="72" t="s">
        <v>1837</v>
      </c>
      <c r="AN15" s="72" t="s">
        <v>1841</v>
      </c>
      <c r="AO15" s="72" t="s">
        <v>1842</v>
      </c>
      <c r="AP15" s="72" t="s">
        <v>1843</v>
      </c>
      <c r="AQ15" s="72" t="s">
        <v>1844</v>
      </c>
      <c r="AR15" s="72" t="s">
        <v>1837</v>
      </c>
    </row>
    <row r="16" spans="1:45" s="15" customFormat="1" ht="59.25" customHeight="1" x14ac:dyDescent="0.25">
      <c r="A16" s="48">
        <v>15</v>
      </c>
      <c r="B16" s="12" t="s">
        <v>1034</v>
      </c>
      <c r="E16" s="19" t="s">
        <v>890</v>
      </c>
      <c r="F16" s="1" t="s">
        <v>1033</v>
      </c>
      <c r="G16" s="19"/>
      <c r="H16" s="19"/>
      <c r="I16" s="19" t="s">
        <v>893</v>
      </c>
      <c r="L16" s="19"/>
      <c r="M16" s="19" t="s">
        <v>908</v>
      </c>
      <c r="R16" s="19" t="s">
        <v>899</v>
      </c>
      <c r="S16" s="19"/>
      <c r="T16" s="19" t="s">
        <v>897</v>
      </c>
      <c r="U16" s="19" t="s">
        <v>909</v>
      </c>
      <c r="V16" s="19" t="s">
        <v>910</v>
      </c>
      <c r="Y16" s="19" t="s">
        <v>906</v>
      </c>
      <c r="Z16" s="19"/>
      <c r="AA16" s="19">
        <v>20000</v>
      </c>
      <c r="AB16" s="19" t="s">
        <v>888</v>
      </c>
      <c r="AC16" s="19" t="s">
        <v>1869</v>
      </c>
      <c r="AE16" s="19" t="s">
        <v>907</v>
      </c>
      <c r="AF16" s="19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S1,S16,CHAR(10), U1,U16,CHAR(10), V1,V16,CHAR(10), W1,W16,CHAR(10), X1,X16,CHAR(10), Y1,Y16,CHAR(10), Z1,Z16,CHAR(10), AA1,AA16,CHAR(10), AB1,AB16,CHAR(10), AC1,AC16,CHAR(10), AD1,AD16,CHAR(10), )</f>
        <v xml:space="preserve">Рабочее напряжение:
Питание:
Тип цоколя лампы:линейный
Источник(и) света:Osram 280W (галогенная, нэльхром)
Тип лампы:
Мощность LED лампы:
Цветовая температура:3200К - 6000К
Угол раскрытия луча:
Угол панарамы:
Ширина луча:
Гидромониторное расстояние:до 30 метров
Управление:
Каналов DMX:
Диммер:
Gobo:
Электронная диафрагма:плавная
Цветовой диск с 8 цветами:
Световой поток:20000 лм
Световой КПД:20000 лм/Вт
Строб:
Светодиод:
Рабочая температура:-25 - +35°С
Фокусировка:
CRI (Ra&gt;):20000
Габариты:630х210х170 мм
Вес(kg):9,1
Особенности:
</v>
      </c>
      <c r="AG16" s="23">
        <v>59900</v>
      </c>
      <c r="AH16" s="72" t="s">
        <v>1827</v>
      </c>
      <c r="AI16" s="72" t="str">
        <f t="shared" si="0"/>
        <v>MCF Beam 280W Прожектор следящего света</v>
      </c>
      <c r="AJ16" s="72" t="str">
        <f t="shared" si="1"/>
        <v>MCF Beam 280W Прожектор следящего света</v>
      </c>
      <c r="AK16" s="72" t="s">
        <v>1840</v>
      </c>
      <c r="AM16" s="72" t="s">
        <v>1837</v>
      </c>
      <c r="AN16" s="72" t="s">
        <v>1841</v>
      </c>
      <c r="AO16" s="72" t="s">
        <v>1842</v>
      </c>
      <c r="AP16" s="72" t="s">
        <v>1843</v>
      </c>
      <c r="AQ16" s="72" t="s">
        <v>1844</v>
      </c>
      <c r="AR16" s="72" t="s">
        <v>1837</v>
      </c>
    </row>
    <row r="17" spans="1:44" s="15" customFormat="1" ht="59.25" customHeight="1" x14ac:dyDescent="0.25">
      <c r="A17" s="48">
        <v>16</v>
      </c>
      <c r="B17" s="84" t="s">
        <v>1036</v>
      </c>
      <c r="C17" s="16" t="s">
        <v>835</v>
      </c>
      <c r="E17" s="16"/>
      <c r="F17" s="16" t="s">
        <v>912</v>
      </c>
      <c r="G17" s="16"/>
      <c r="H17" s="16"/>
      <c r="I17" s="16"/>
      <c r="J17" s="16" t="s">
        <v>913</v>
      </c>
      <c r="K17" s="16"/>
      <c r="L17" s="16"/>
      <c r="M17" s="16"/>
      <c r="N17" s="16" t="s">
        <v>868</v>
      </c>
      <c r="O17" s="16">
        <v>6</v>
      </c>
      <c r="P17" s="16" t="s">
        <v>843</v>
      </c>
      <c r="Q17" s="16"/>
      <c r="R17" s="16"/>
      <c r="T17" s="16"/>
      <c r="U17" s="16"/>
      <c r="V17" s="16"/>
      <c r="W17" s="16" t="s">
        <v>914</v>
      </c>
      <c r="X17" s="16" t="s">
        <v>915</v>
      </c>
      <c r="Y17" s="16"/>
      <c r="Z17" s="16"/>
      <c r="AA17" s="16"/>
      <c r="AB17" s="16" t="s">
        <v>916</v>
      </c>
      <c r="AC17" s="16" t="s">
        <v>1870</v>
      </c>
      <c r="AD17" s="1" t="s">
        <v>1035</v>
      </c>
      <c r="AE17" s="16" t="s">
        <v>911</v>
      </c>
      <c r="AF17" s="16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S1,S17,CHAR(10), U1,U17,CHAR(10), V1,V17,CHAR(10), W1,W17,CHAR(10), X1,X17,CHAR(10), Y1,Y17,CHAR(10), Z1,Z17,CHAR(10), AA1,AA17,CHAR(10), AB1,AB17,CHAR(10), AC1,AC17,CHAR(10), AD1,AD17,CHAR(10), )</f>
        <v xml:space="preserve">Рабочее напряжение:220В – 240 В 50/60 Гц
Питание:
Тип цоколя лампы:
Источник(и) света:LED 18x10W
Тип лампы:
Мощность LED лампы:
Цветовая температура:
Угол раскрытия луча:25-30°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Строб:10 вспышек/сек
Светодиод:80 000 часов работы
Рабочая температура:
Фокусировка:
CRI (Ra&gt;):
Габариты:320x226x222 мм
Вес(kg):3,5
Особенности:Мощное охлаждение; LED дисплей electronicZoom
</v>
      </c>
      <c r="AG17" s="145">
        <v>9900</v>
      </c>
      <c r="AH17" s="72" t="s">
        <v>1827</v>
      </c>
      <c r="AI17" s="72" t="str">
        <f t="shared" si="0"/>
        <v>MCF LED Par 180W Multi (RGBW) Светодиодный прожектор</v>
      </c>
      <c r="AJ17" s="72" t="str">
        <f t="shared" si="1"/>
        <v>MCF LED Par 180W Multi (RGBW) Светодиодный прожектор</v>
      </c>
      <c r="AK17" s="72" t="s">
        <v>1840</v>
      </c>
      <c r="AM17" s="72" t="s">
        <v>1837</v>
      </c>
      <c r="AN17" s="72" t="s">
        <v>1841</v>
      </c>
      <c r="AO17" s="72" t="s">
        <v>1842</v>
      </c>
      <c r="AP17" s="72" t="s">
        <v>1843</v>
      </c>
      <c r="AQ17" s="72" t="s">
        <v>1844</v>
      </c>
      <c r="AR17" s="72" t="s">
        <v>1837</v>
      </c>
    </row>
    <row r="18" spans="1:44" s="32" customFormat="1" ht="59.25" customHeight="1" x14ac:dyDescent="0.25">
      <c r="A18" s="56">
        <v>17</v>
      </c>
      <c r="B18" s="82" t="s">
        <v>1037</v>
      </c>
      <c r="C18" s="26" t="s">
        <v>835</v>
      </c>
      <c r="E18" s="26"/>
      <c r="F18" s="26" t="s">
        <v>912</v>
      </c>
      <c r="G18" s="26"/>
      <c r="H18" s="26"/>
      <c r="I18" s="26"/>
      <c r="J18" s="26" t="s">
        <v>918</v>
      </c>
      <c r="K18" s="26"/>
      <c r="L18" s="26"/>
      <c r="M18" s="26"/>
      <c r="N18" s="26" t="s">
        <v>868</v>
      </c>
      <c r="O18" s="26">
        <v>6</v>
      </c>
      <c r="P18" s="26" t="s">
        <v>843</v>
      </c>
      <c r="Q18" s="26"/>
      <c r="R18" s="26"/>
      <c r="T18" s="26"/>
      <c r="U18" s="26"/>
      <c r="V18" s="26"/>
      <c r="W18" s="26" t="s">
        <v>914</v>
      </c>
      <c r="X18" s="26" t="s">
        <v>915</v>
      </c>
      <c r="Y18" s="26"/>
      <c r="Z18" s="26"/>
      <c r="AA18" s="26"/>
      <c r="AB18" s="26" t="s">
        <v>919</v>
      </c>
      <c r="AC18" s="26" t="s">
        <v>1871</v>
      </c>
      <c r="AD18" s="32" t="s">
        <v>1035</v>
      </c>
      <c r="AE18" s="26" t="s">
        <v>917</v>
      </c>
      <c r="AF18" s="26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S1,S18,CHAR(10), U1,U18,CHAR(10), V1,V18,CHAR(10), W1,W18,CHAR(10), X1,X18,CHAR(10), Y1,Y18,CHAR(10), Z1,Z18,CHAR(10), AA1,AA18,CHAR(10), AB1,AB18,CHAR(10), AC1,AC18,CHAR(10), AD1,AD18,CHAR(10), )</f>
        <v xml:space="preserve">Рабочее напряжение:220В – 240 В 50/60 Гц
Питание:
Тип цоколя лампы:
Источник(и) света:LED 18x10W
Тип лампы:
Мощность LED лампы:
Цветовая температура:
Угол раскрытия луча:15-45° при зумировании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Строб:10 вспышек/сек
Светодиод:80 000 часов работы
Рабочая температура:
Фокусировка:
CRI (Ra&gt;):
Габариты:250x270x330 мм
Вес(kg):3,2
Особенности:Мощное охлаждение; LED дисплей electronicZoom
</v>
      </c>
      <c r="AG18" s="144" t="s">
        <v>677</v>
      </c>
      <c r="AH18" s="72" t="s">
        <v>1827</v>
      </c>
      <c r="AI18" s="72" t="str">
        <f t="shared" si="0"/>
        <v>MCF LED Par 180W  Zoom Multi (RGBW) Светодиодный прожектор  моторизованное изменение фокусного расстояния</v>
      </c>
      <c r="AJ18" s="72" t="str">
        <f t="shared" si="1"/>
        <v>MCF LED Par 180W  Zoom Multi (RGBW) Светодиодный прожектор  моторизованное изменение фокусного расстояния</v>
      </c>
      <c r="AK18" s="72" t="s">
        <v>1840</v>
      </c>
      <c r="AM18" s="72" t="s">
        <v>1837</v>
      </c>
      <c r="AN18" s="72" t="s">
        <v>1841</v>
      </c>
      <c r="AO18" s="72" t="s">
        <v>1842</v>
      </c>
      <c r="AP18" s="72" t="s">
        <v>1843</v>
      </c>
      <c r="AQ18" s="72" t="s">
        <v>1844</v>
      </c>
      <c r="AR18" s="72" t="s">
        <v>1837</v>
      </c>
    </row>
    <row r="19" spans="1:44" s="15" customFormat="1" ht="59.25" customHeight="1" x14ac:dyDescent="0.25">
      <c r="A19" s="48">
        <v>18</v>
      </c>
      <c r="B19" s="84" t="s">
        <v>1038</v>
      </c>
      <c r="C19" s="16" t="s">
        <v>835</v>
      </c>
      <c r="E19" s="16"/>
      <c r="F19" s="16" t="s">
        <v>921</v>
      </c>
      <c r="G19" s="16"/>
      <c r="H19" s="16"/>
      <c r="I19" s="16"/>
      <c r="J19" s="16" t="s">
        <v>918</v>
      </c>
      <c r="K19" s="16"/>
      <c r="L19" s="16"/>
      <c r="M19" s="16"/>
      <c r="N19" s="16" t="s">
        <v>868</v>
      </c>
      <c r="O19" s="16">
        <v>6</v>
      </c>
      <c r="P19" s="16" t="s">
        <v>843</v>
      </c>
      <c r="Q19" s="16"/>
      <c r="R19" s="16"/>
      <c r="T19" s="16"/>
      <c r="U19" s="16"/>
      <c r="V19" s="16"/>
      <c r="W19" s="16" t="s">
        <v>914</v>
      </c>
      <c r="X19" s="16" t="s">
        <v>915</v>
      </c>
      <c r="Y19" s="16"/>
      <c r="Z19" s="16"/>
      <c r="AA19" s="16"/>
      <c r="AB19" s="16" t="s">
        <v>919</v>
      </c>
      <c r="AC19" s="16">
        <v>5</v>
      </c>
      <c r="AD19" s="15" t="s">
        <v>1039</v>
      </c>
      <c r="AE19" s="16" t="s">
        <v>920</v>
      </c>
      <c r="AF19" s="16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S1,S19,CHAR(10), U1,U19,CHAR(10), V1,V19,CHAR(10), W1,W19,CHAR(10), X1,X19,CHAR(10), Y1,Y19,CHAR(10), Z1,Z19,CHAR(10), AA1,AA19,CHAR(10), AB1,AB19,CHAR(10), AC1,AC19,CHAR(10), AD1,AD19,CHAR(10), )</f>
        <v xml:space="preserve">Рабочее напряжение:220В – 240 В 50/60 Гц
Питание:
Тип цоколя лампы:
Источник(и) света:LED 18x12W
Тип лампы:
Мощность LED лампы:
Цветовая температура:
Угол раскрытия луча:15-45° при зумировании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Строб:10 вспышек/сек
Светодиод:80 000 часов работы
Рабочая температура:
Фокусировка:
CRI (Ra&gt;):
Габариты:250x270x330 мм
Вес(kg):5
Особенности:Мощное охлаждение, LED дисплей electronicZoom
</v>
      </c>
      <c r="AG19" s="15" t="s">
        <v>1851</v>
      </c>
      <c r="AH19" s="72" t="s">
        <v>1827</v>
      </c>
      <c r="AI19" s="72" t="str">
        <f t="shared" si="0"/>
        <v>MCF LED Par 216W  Zoom Multi (RGBW) Светодиодный прожектор</v>
      </c>
      <c r="AJ19" s="72" t="str">
        <f t="shared" si="1"/>
        <v>MCF LED Par 216W  Zoom Multi (RGBW) Светодиодный прожектор</v>
      </c>
      <c r="AK19" s="72" t="s">
        <v>1840</v>
      </c>
      <c r="AM19" s="72" t="s">
        <v>1837</v>
      </c>
      <c r="AN19" s="72" t="s">
        <v>1841</v>
      </c>
      <c r="AO19" s="72" t="s">
        <v>1842</v>
      </c>
      <c r="AP19" s="72" t="s">
        <v>1843</v>
      </c>
      <c r="AQ19" s="72" t="s">
        <v>1844</v>
      </c>
      <c r="AR19" s="72" t="s">
        <v>1837</v>
      </c>
    </row>
    <row r="20" spans="1:44" s="15" customFormat="1" ht="59.25" customHeight="1" x14ac:dyDescent="0.25">
      <c r="A20" s="48">
        <v>19</v>
      </c>
      <c r="B20" s="15" t="s">
        <v>922</v>
      </c>
      <c r="C20" s="16" t="s">
        <v>835</v>
      </c>
      <c r="E20" s="16"/>
      <c r="F20" s="16" t="s">
        <v>912</v>
      </c>
      <c r="G20" s="16"/>
      <c r="H20" s="16"/>
      <c r="I20" s="16"/>
      <c r="J20" s="16" t="s">
        <v>923</v>
      </c>
      <c r="K20" s="16"/>
      <c r="L20" s="16"/>
      <c r="M20" s="16"/>
      <c r="N20" s="16" t="s">
        <v>868</v>
      </c>
      <c r="O20" s="16">
        <v>6</v>
      </c>
      <c r="P20" s="16" t="s">
        <v>843</v>
      </c>
      <c r="Q20" s="16"/>
      <c r="R20" s="16"/>
      <c r="T20" s="16"/>
      <c r="U20" s="16"/>
      <c r="V20" s="16"/>
      <c r="W20" s="16" t="s">
        <v>914</v>
      </c>
      <c r="X20" s="16" t="s">
        <v>915</v>
      </c>
      <c r="Y20" s="16"/>
      <c r="Z20" s="16"/>
      <c r="AA20" s="16"/>
      <c r="AB20" s="16" t="s">
        <v>919</v>
      </c>
      <c r="AC20" s="16">
        <v>5</v>
      </c>
      <c r="AD20" s="15" t="s">
        <v>1040</v>
      </c>
      <c r="AE20" s="16" t="s">
        <v>911</v>
      </c>
      <c r="AF20" s="16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S1,S20,CHAR(10), U1,U20,CHAR(10), V1,V20,CHAR(10), W1,W20,CHAR(10), X1,X20,CHAR(10), Y1,Y20,CHAR(10), Z1,Z20,CHAR(10), AA1,AA20,CHAR(10), AB1,AB20,CHAR(10), AC1,AC20,CHAR(10), AD1,AD20,CHAR(10), )</f>
        <v xml:space="preserve">Рабочее напряжение:220В – 240 В 50/60 Гц
Питание:
Тип цоколя лампы:
Источник(и) света:LED 18x10W
Тип лампы:
Мощность LED лампы:
Цветовая температура:
Угол раскрытия луча:25-33° при зумировании
Угол панарамы:
Ширина луча:
Гидромониторное расстояние:
Управление:DMX, Звуковая активация, авто режим (Master / Slave)
Каналов DMX:6
Диммер:0-100%
Gobo:
Электронная диафрагма:
Цветовой диск с 8 цветами:
Световой поток:
Световой КПД:
Строб:10 вспышек/сек
Светодиод:80 000 часов работы
Рабочая температура:
Фокусировка:
CRI (Ra&gt;):
Габариты:250x270x330 мм
Вес(kg):5
Особенности:Мощное охлаждение; LED дисплей; Влагозащита: IP65
</v>
      </c>
      <c r="AG20" s="23">
        <v>24900</v>
      </c>
      <c r="AH20" s="72" t="s">
        <v>1827</v>
      </c>
      <c r="AI20" s="72" t="str">
        <f t="shared" si="0"/>
        <v>MCF LED Par W 180 multi (RGBWY) IP 65</v>
      </c>
      <c r="AJ20" s="72" t="str">
        <f t="shared" si="1"/>
        <v>MCF LED Par W 180 multi (RGBWY) IP 65</v>
      </c>
      <c r="AK20" s="72" t="s">
        <v>1840</v>
      </c>
      <c r="AM20" s="72" t="s">
        <v>1837</v>
      </c>
      <c r="AN20" s="72" t="s">
        <v>1841</v>
      </c>
      <c r="AO20" s="72" t="s">
        <v>1842</v>
      </c>
      <c r="AP20" s="72" t="s">
        <v>1843</v>
      </c>
      <c r="AQ20" s="72" t="s">
        <v>1844</v>
      </c>
      <c r="AR20" s="72" t="s">
        <v>1837</v>
      </c>
    </row>
    <row r="21" spans="1:44" s="32" customFormat="1" ht="59.25" customHeight="1" x14ac:dyDescent="0.25">
      <c r="A21" s="56">
        <v>20</v>
      </c>
      <c r="B21" s="83" t="s">
        <v>1041</v>
      </c>
      <c r="C21" s="26" t="s">
        <v>835</v>
      </c>
      <c r="E21" s="26"/>
      <c r="F21" s="26" t="s">
        <v>925</v>
      </c>
      <c r="G21" s="26"/>
      <c r="H21" s="26"/>
      <c r="I21" s="26"/>
      <c r="J21" s="26" t="s">
        <v>926</v>
      </c>
      <c r="K21" s="26"/>
      <c r="L21" s="26"/>
      <c r="M21" s="26"/>
      <c r="N21" s="26" t="s">
        <v>841</v>
      </c>
      <c r="O21" s="26">
        <v>10</v>
      </c>
      <c r="P21" s="26" t="s">
        <v>843</v>
      </c>
      <c r="Q21" s="26"/>
      <c r="R21" s="26"/>
      <c r="S21" s="26"/>
      <c r="T21" s="26"/>
      <c r="U21" s="26"/>
      <c r="V21" s="26"/>
      <c r="W21" s="26" t="s">
        <v>863</v>
      </c>
      <c r="Y21" s="26"/>
      <c r="Z21" s="26"/>
      <c r="AA21" s="26"/>
      <c r="AB21" s="26" t="s">
        <v>927</v>
      </c>
      <c r="AC21" s="26">
        <v>9</v>
      </c>
      <c r="AD21" s="32" t="s">
        <v>1042</v>
      </c>
      <c r="AE21" s="26" t="s">
        <v>924</v>
      </c>
      <c r="AF21" s="26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S1,S21,CHAR(10), U1,U21,CHAR(10), V1,V21,CHAR(10), W1,W21,CHAR(10), X1,X21,CHAR(10), Y1,Y21,CHAR(10), Z1,Z21,CHAR(10), AA1,AA21,CHAR(10), AB1,AB21,CHAR(10), AC1,AC21,CHAR(10), AD1,AD21,CHAR(10), )</f>
        <v xml:space="preserve">Рабочее напряжение:220В – 240 В 50/60 Гц
Питание:
Тип цоколя лампы:
Источник(и) света:8 светодиов по 12W
Тип лампы:
Мощность LED лампы:
Цветовая температура:
Угол раскрытия луча:5°
Угол панарамы:
Ширина луча:
Гидромониторное расстояние:
Управление:DMX
Каналов DMX:10
Диммер:0-100%
Gobo:
Электронная диафрагма:
Цветовой диск с 8 цветами:
Световой поток:
Световой КПД:
Строб:1 - 30 вспышек в секунду
Светодиод:
Рабочая температура:
Фокусировка:
CRI (Ra&gt;):
Габариты:1064х84х180 мм
Вес(kg):9
Особенности:4-кнопочный цифровой дисплей, Звуковая активация, Перемещение панели 230°, Влагозащита: IP20
</v>
      </c>
      <c r="AG21" s="31">
        <v>24900</v>
      </c>
      <c r="AH21" s="72" t="s">
        <v>1827</v>
      </c>
      <c r="AI21" s="72" t="str">
        <f t="shared" si="0"/>
        <v>MCF LED 8x12W Lenses (RGBW) Светодиодная панель</v>
      </c>
      <c r="AJ21" s="72" t="str">
        <f t="shared" si="1"/>
        <v>MCF LED 8x12W Lenses (RGBW) Светодиодная панель</v>
      </c>
      <c r="AK21" s="72" t="s">
        <v>1840</v>
      </c>
      <c r="AM21" s="72" t="s">
        <v>1837</v>
      </c>
      <c r="AN21" s="72" t="s">
        <v>1841</v>
      </c>
      <c r="AO21" s="72" t="s">
        <v>1842</v>
      </c>
      <c r="AP21" s="72" t="s">
        <v>1843</v>
      </c>
      <c r="AQ21" s="72" t="s">
        <v>1844</v>
      </c>
      <c r="AR21" s="72" t="s">
        <v>1837</v>
      </c>
    </row>
    <row r="22" spans="1:44" s="15" customFormat="1" ht="59.25" customHeight="1" x14ac:dyDescent="0.25">
      <c r="A22" s="48">
        <v>21</v>
      </c>
      <c r="B22" s="12" t="s">
        <v>1045</v>
      </c>
      <c r="C22" s="16" t="s">
        <v>835</v>
      </c>
      <c r="E22" s="16"/>
      <c r="F22" s="16" t="s">
        <v>930</v>
      </c>
      <c r="J22" s="16" t="s">
        <v>926</v>
      </c>
      <c r="K22" s="16"/>
      <c r="N22" s="16" t="s">
        <v>841</v>
      </c>
      <c r="O22" s="16">
        <v>10</v>
      </c>
      <c r="P22" s="16" t="s">
        <v>843</v>
      </c>
      <c r="Q22" s="16"/>
      <c r="W22" s="16" t="s">
        <v>863</v>
      </c>
      <c r="AB22" s="16" t="s">
        <v>927</v>
      </c>
      <c r="AC22" s="16">
        <v>9</v>
      </c>
      <c r="AD22" s="15" t="s">
        <v>1042</v>
      </c>
      <c r="AE22" s="16" t="s">
        <v>929</v>
      </c>
      <c r="AF22" s="16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S1,S22,CHAR(10), U1,U22,CHAR(10), V1,V22,CHAR(10), W1,W22,CHAR(10), X1,X22,CHAR(10), Y1,Y22,CHAR(10), Z1,Z22,CHAR(10), AA1,AA22,CHAR(10), AB1,AB22,CHAR(10), AC1,AC22,CHAR(10), AD1,AD22,CHAR(10), )</f>
        <v xml:space="preserve">Рабочее напряжение:220В – 240 В 50/60 Гц
Питание:
Тип цоколя лампы:
Источник(и) света:8 светодиодов по 10W Multi
Тип лампы:
Мощность LED лампы:
Цветовая температура:
Угол раскрытия луча:5°
Угол панарамы:
Ширина луча:
Гидромониторное расстояние:
Управление:DMX
Каналов DMX:10
Диммер:0-100%
Gobo:
Электронная диафрагма:
Цветовой диск с 8 цветами:
Световой поток:
Световой КПД:
Строб:1 - 30 вспышек в секунду
Светодиод:
Рабочая температура:
Фокусировка:
CRI (Ra&gt;):
Габариты:1064х84х180 мм
Вес(kg):9
Особенности:4-кнопочный цифровой дисплей, Звуковая активация, Перемещение панели 230°, Влагозащита: IP20
</v>
      </c>
      <c r="AG22" s="23">
        <v>19900</v>
      </c>
      <c r="AH22" s="72" t="s">
        <v>1827</v>
      </c>
      <c r="AI22" s="72" t="str">
        <f t="shared" si="0"/>
        <v>MCF LED 8x10W  Lenses Multi (RGBW) Светодиодная панель</v>
      </c>
      <c r="AJ22" s="72" t="str">
        <f t="shared" si="1"/>
        <v>MCF LED 8x10W  Lenses Multi (RGBW) Светодиодная панель</v>
      </c>
      <c r="AK22" s="72" t="s">
        <v>1840</v>
      </c>
      <c r="AM22" s="72" t="s">
        <v>1837</v>
      </c>
      <c r="AN22" s="72" t="s">
        <v>1841</v>
      </c>
      <c r="AO22" s="72" t="s">
        <v>1842</v>
      </c>
      <c r="AP22" s="72" t="s">
        <v>1843</v>
      </c>
      <c r="AQ22" s="72" t="s">
        <v>1844</v>
      </c>
      <c r="AR22" s="72" t="s">
        <v>1837</v>
      </c>
    </row>
    <row r="23" spans="1:44" s="15" customFormat="1" ht="59.25" customHeight="1" x14ac:dyDescent="0.25">
      <c r="A23" s="48">
        <v>22</v>
      </c>
      <c r="B23" s="12" t="s">
        <v>1046</v>
      </c>
      <c r="C23" s="16" t="s">
        <v>835</v>
      </c>
      <c r="E23" s="16"/>
      <c r="F23" s="16" t="s">
        <v>932</v>
      </c>
      <c r="J23" s="16" t="s">
        <v>933</v>
      </c>
      <c r="K23" s="16" t="s">
        <v>935</v>
      </c>
      <c r="N23" s="16" t="s">
        <v>841</v>
      </c>
      <c r="O23" s="16">
        <v>16</v>
      </c>
      <c r="P23" s="16" t="s">
        <v>843</v>
      </c>
      <c r="Q23" s="16" t="s">
        <v>1047</v>
      </c>
      <c r="T23" s="16" t="s">
        <v>937</v>
      </c>
      <c r="W23" s="16" t="s">
        <v>938</v>
      </c>
      <c r="AB23" s="16" t="s">
        <v>939</v>
      </c>
      <c r="AC23" s="16">
        <v>14</v>
      </c>
      <c r="AD23" s="15" t="s">
        <v>1048</v>
      </c>
      <c r="AE23" s="16" t="s">
        <v>931</v>
      </c>
      <c r="AF23" s="16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S1,S23,CHAR(10), U1,U23,CHAR(10), V1,V23,CHAR(10), W1,W23,CHAR(10), X1,X23,CHAR(10), Y1,Y23,CHAR(10), Z1,Z23,CHAR(10), AA1,AA23,CHAR(10), AB1,AB23,CHAR(10), AC1,AC23,CHAR(10), AD1,AD23,CHAR(10), )</f>
        <v xml:space="preserve">Рабочее напряжение:220В – 240 В 50/60 Гц
Питание:
Тип цоколя лампы:
Источник(и) света:LED 100 Вт белый
Тип лампы:
Мощность LED лампы:
Цветовая температура:
Угол раскрытия луча:17°
Угол панарамы:горизонт 540° вертикаль 270°
Ширина луча:
Гидромониторное расстояние:
Управление:DMX
Каналов DMX:16
Диммер:0-100%
Gobo:7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Габариты:390х330х500 мм
Вес(kg):14
Особенности:Призма: 3-х фасетнаявращ. Автокоррекция движения, до 540 градусов по горизонтали, до 270 градусов по вертикали
</v>
      </c>
      <c r="AG23" s="23">
        <v>39900</v>
      </c>
      <c r="AH23" s="72" t="s">
        <v>1827</v>
      </c>
      <c r="AI23" s="72" t="str">
        <f t="shared" si="0"/>
        <v>MCF LED Spot 100W (mini) Интеллектуальная голова</v>
      </c>
      <c r="AJ23" s="72" t="str">
        <f t="shared" si="1"/>
        <v>MCF LED Spot 100W (mini) Интеллектуальная голова</v>
      </c>
      <c r="AK23" s="72" t="s">
        <v>1840</v>
      </c>
      <c r="AM23" s="72" t="s">
        <v>1837</v>
      </c>
      <c r="AN23" s="72" t="s">
        <v>1841</v>
      </c>
      <c r="AO23" s="72" t="s">
        <v>1842</v>
      </c>
      <c r="AP23" s="72" t="s">
        <v>1843</v>
      </c>
      <c r="AQ23" s="72" t="s">
        <v>1844</v>
      </c>
      <c r="AR23" s="72" t="s">
        <v>1837</v>
      </c>
    </row>
    <row r="24" spans="1:44" s="15" customFormat="1" ht="59.25" customHeight="1" x14ac:dyDescent="0.25">
      <c r="A24" s="48">
        <v>23</v>
      </c>
      <c r="B24" s="12" t="s">
        <v>1049</v>
      </c>
      <c r="C24" s="16" t="s">
        <v>835</v>
      </c>
      <c r="F24" s="16" t="s">
        <v>940</v>
      </c>
      <c r="J24" s="16" t="s">
        <v>933</v>
      </c>
      <c r="K24" s="16" t="s">
        <v>935</v>
      </c>
      <c r="N24" s="16" t="s">
        <v>841</v>
      </c>
      <c r="O24" s="16">
        <v>16</v>
      </c>
      <c r="P24" s="16" t="s">
        <v>843</v>
      </c>
      <c r="Q24" s="15" t="s">
        <v>1047</v>
      </c>
      <c r="T24" s="16" t="s">
        <v>937</v>
      </c>
      <c r="W24" s="16" t="s">
        <v>938</v>
      </c>
      <c r="AB24" s="16" t="s">
        <v>939</v>
      </c>
      <c r="AC24" s="16">
        <v>14</v>
      </c>
      <c r="AD24" s="15" t="s">
        <v>1050</v>
      </c>
      <c r="AE24" s="16" t="s">
        <v>563</v>
      </c>
      <c r="AF24" s="16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S1,S24,CHAR(10), U1,U24,CHAR(10), V1,V24,CHAR(10), W1,W24,CHAR(10), X1,X24,CHAR(10), Y1,Y24,CHAR(10), Z1,Z24,CHAR(10), AA1,AA24,CHAR(10), AB1,AB24,CHAR(10), AC1,AC24,CHAR(10), AD1,AD24,CHAR(10), )</f>
        <v xml:space="preserve">Рабочее напряжение:220В – 240 В 50/60 Гц
Питание:
Тип цоколя лампы:
Источник(и) света:LED 60 Вт белый
Тип лампы:
Мощность LED лампы:
Цветовая температура:
Угол раскрытия луча:17°
Угол панарамы:горизонт 540° вертикаль 270°
Ширина луча:
Гидромониторное расстояние:
Управление:DMX
Каналов DMX:16
Диммер:0-100%
Gobo:7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Габариты:390х330х500 мм
Вес(kg):14
Особенности:Призма: 3-х фасетнаявращ. Автокоррекция движения,  до 540 градусов по горизонтали, до 270 градусов по вертикали
</v>
      </c>
      <c r="AG24" s="23">
        <v>34900</v>
      </c>
      <c r="AH24" s="72" t="s">
        <v>1827</v>
      </c>
      <c r="AI24" s="72" t="str">
        <f t="shared" si="0"/>
        <v>MCF LED Spot 60W (mini) Интеллектуальная голова</v>
      </c>
      <c r="AJ24" s="72" t="str">
        <f t="shared" si="1"/>
        <v>MCF LED Spot 60W (mini) Интеллектуальная голова</v>
      </c>
      <c r="AK24" s="72" t="s">
        <v>1840</v>
      </c>
      <c r="AM24" s="72" t="s">
        <v>1837</v>
      </c>
      <c r="AN24" s="72" t="s">
        <v>1841</v>
      </c>
      <c r="AO24" s="72" t="s">
        <v>1842</v>
      </c>
      <c r="AP24" s="72" t="s">
        <v>1843</v>
      </c>
      <c r="AQ24" s="72" t="s">
        <v>1844</v>
      </c>
      <c r="AR24" s="72" t="s">
        <v>1837</v>
      </c>
    </row>
    <row r="25" spans="1:44" s="15" customFormat="1" ht="59.25" customHeight="1" x14ac:dyDescent="0.25">
      <c r="A25" s="48">
        <v>24</v>
      </c>
      <c r="B25" s="12" t="s">
        <v>1051</v>
      </c>
      <c r="C25" s="16" t="s">
        <v>835</v>
      </c>
      <c r="F25" s="16" t="s">
        <v>941</v>
      </c>
      <c r="J25" s="16" t="s">
        <v>942</v>
      </c>
      <c r="K25" s="16" t="s">
        <v>935</v>
      </c>
      <c r="N25" s="16" t="s">
        <v>841</v>
      </c>
      <c r="O25" s="16" t="s">
        <v>943</v>
      </c>
      <c r="P25" s="16" t="s">
        <v>843</v>
      </c>
      <c r="Q25" s="15" t="s">
        <v>1052</v>
      </c>
      <c r="T25" s="16" t="s">
        <v>944</v>
      </c>
      <c r="W25" s="16" t="s">
        <v>945</v>
      </c>
      <c r="AB25" s="16" t="s">
        <v>946</v>
      </c>
      <c r="AC25" s="16">
        <v>23</v>
      </c>
      <c r="AD25" s="16" t="s">
        <v>1053</v>
      </c>
      <c r="AE25" s="16" t="s">
        <v>587</v>
      </c>
      <c r="AF25" s="16" t="str">
        <f>CONCATENATE( C1,C25,CHAR(10), D1,D25,CHAR(10), E1,E25,CHAR(10), F1,F25,CHAR(10), G1,G25,CHAR(10), H1,H25,CHAR(10), I1,I25,CHAR(10), J1,J25,CHAR(10), K1,K25,CHAR(10), L1,L25,CHAR(10), M1,M25,CHAR(10), N1,N25,CHAR(10), O1,O25,CHAR(10), P1,P25,CHAR(10), Q1,Q25,CHAR(10), R1,R25,CHAR(10), S1,S25,CHAR(10), U1,U25,CHAR(10), V1,V25,CHAR(10), W1,W25,CHAR(10), X1,X25,CHAR(10), Y1,Y25,CHAR(10), Z1,Z25,CHAR(10), AA1,AA25,CHAR(10), AB1,AB25,CHAR(10), AC1,AC25,CHAR(10), AD1,AD25,CHAR(10), )</f>
        <v xml:space="preserve">Рабочее напряжение:220В – 240 В 50/60 Гц
Питание:
Тип цоколя лампы:
Источник(и) света:Osram HRI 330W
Тип лампы:
Мощность LED лампы:
Цветовая температура:
Угол раскрытия луча:4° - 38° 
Угол панарамы:горизонт 540° вертикаль 270°
Ширина луча:
Гидромониторное расстояние:
Управление:DMX
Каналов DMX:21/23/24
Диммер:0-100%
Gobo:14 фикс. гобо+пустая позиция, 8 вращ. гобо+пустая позиция
Электронная диафрагма:
Цветовой диск с 8 цветами:
Световой поток:
Световой КПД:
Строб:0,5 - 13 вспышек в секунду
Светодиод:
Рабочая температура:
Фокусировка:
CRI (Ra&gt;):
Габариты:409x419x541 мм
Вес(kg):23
Особенности:Звуковая активация, до 540 градусов по горизонтали, до 250 градусов по вертикали
</v>
      </c>
      <c r="AG25" s="23">
        <v>79900</v>
      </c>
      <c r="AH25" s="72" t="s">
        <v>1827</v>
      </c>
      <c r="AI25" s="72" t="str">
        <f t="shared" si="0"/>
        <v>MCF SpotBeam 330W Интеллектуальная голова</v>
      </c>
      <c r="AJ25" s="72" t="str">
        <f t="shared" si="1"/>
        <v>MCF SpotBeam 330W Интеллектуальная голова</v>
      </c>
      <c r="AK25" s="72" t="s">
        <v>1840</v>
      </c>
      <c r="AM25" s="72" t="s">
        <v>1837</v>
      </c>
      <c r="AN25" s="72" t="s">
        <v>1841</v>
      </c>
      <c r="AO25" s="72" t="s">
        <v>1842</v>
      </c>
      <c r="AP25" s="72" t="s">
        <v>1843</v>
      </c>
      <c r="AQ25" s="72" t="s">
        <v>1844</v>
      </c>
      <c r="AR25" s="72" t="s">
        <v>1837</v>
      </c>
    </row>
    <row r="26" spans="1:44" s="15" customFormat="1" ht="59.25" customHeight="1" x14ac:dyDescent="0.25">
      <c r="A26" s="48">
        <v>25</v>
      </c>
      <c r="B26" s="12" t="s">
        <v>1054</v>
      </c>
      <c r="C26" s="16" t="s">
        <v>835</v>
      </c>
      <c r="F26" s="16" t="s">
        <v>948</v>
      </c>
      <c r="J26" s="16" t="s">
        <v>1044</v>
      </c>
      <c r="K26" s="16" t="s">
        <v>935</v>
      </c>
      <c r="N26" s="16" t="s">
        <v>841</v>
      </c>
      <c r="O26" s="16">
        <v>16</v>
      </c>
      <c r="P26" s="16" t="s">
        <v>843</v>
      </c>
      <c r="Q26" s="15" t="s">
        <v>1055</v>
      </c>
      <c r="T26" s="16" t="s">
        <v>949</v>
      </c>
      <c r="W26" s="16" t="s">
        <v>938</v>
      </c>
      <c r="Z26" s="16" t="s">
        <v>843</v>
      </c>
      <c r="AB26" s="16" t="s">
        <v>951</v>
      </c>
      <c r="AC26" s="16">
        <v>18</v>
      </c>
      <c r="AD26" s="15" t="s">
        <v>1056</v>
      </c>
      <c r="AE26" s="16" t="s">
        <v>947</v>
      </c>
      <c r="AF26" s="16" t="str">
        <f>CONCATENATE( C1,C26,CHAR(10), D1,D26,CHAR(10), E1,E26,CHAR(10), F1,F26,CHAR(10), G1,G26,CHAR(10), H1,H26,CHAR(10), I1,I26,CHAR(10), J1,J26,CHAR(10), K1,K26,CHAR(10), L1,L26,CHAR(10), M1,M26,CHAR(10), N1,N26,CHAR(10), O1,O26,CHAR(10), P1,P26,CHAR(10), Q1,Q26,CHAR(10), R1,R26,CHAR(10), S1,S26,CHAR(10), U1,U26,CHAR(10), V1,V26,CHAR(10), W1,W26,CHAR(10), X1,X26,CHAR(10), Y1,Y26,CHAR(10), Z1,Z26,CHAR(10), AA1,AA26,CHAR(10), AB1,AB26,CHAR(10), AC1,AC26,CHAR(10), AD1,AD26,CHAR(10), )</f>
        <v xml:space="preserve">Рабочее напряжение:220В – 240 В 50/60 Гц
Питание:
Тип цоколя лампы:
Источник(и) света:YODN 5R AC 190W
Тип лампы:
Мощность LED лампы:
Цветовая температура:
Угол раскрытия луча:17-31⁰
Угол панарамы:горизонт 540° вертикаль 270°
Ширина луча:
Гидромониторное расстояние:
Управление:DMX
Каналов DMX:16
Диммер:0-100%
Gobo:17 фикс. гобо+пустая позиция, 10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Фокусировка:0-100%
CRI (Ra&gt;):
Габариты:315x339x530 мм
Вес(kg):18
Особенности:Звуковая активация, Автокоррекция движения, до 540 градусов по горизонтали, до 250 градусов по вертикали
</v>
      </c>
      <c r="AG26" s="23">
        <v>34900</v>
      </c>
      <c r="AH26" s="72" t="s">
        <v>1827</v>
      </c>
      <c r="AI26" s="72" t="str">
        <f t="shared" si="0"/>
        <v>MCFSpotBeam 200W Интеллектуальная голова</v>
      </c>
      <c r="AJ26" s="72" t="str">
        <f t="shared" si="1"/>
        <v>MCFSpotBeam 200W Интеллектуальная голова</v>
      </c>
      <c r="AK26" s="72" t="s">
        <v>1840</v>
      </c>
      <c r="AM26" s="72" t="s">
        <v>1837</v>
      </c>
      <c r="AN26" s="72" t="s">
        <v>1841</v>
      </c>
      <c r="AO26" s="72" t="s">
        <v>1842</v>
      </c>
      <c r="AP26" s="72" t="s">
        <v>1843</v>
      </c>
      <c r="AQ26" s="72" t="s">
        <v>1844</v>
      </c>
      <c r="AR26" s="72" t="s">
        <v>1837</v>
      </c>
    </row>
    <row r="27" spans="1:44" s="15" customFormat="1" ht="59.25" customHeight="1" x14ac:dyDescent="0.25">
      <c r="A27" s="48">
        <v>26</v>
      </c>
      <c r="B27" s="12" t="s">
        <v>1057</v>
      </c>
      <c r="C27" s="16" t="s">
        <v>835</v>
      </c>
      <c r="F27" s="16" t="s">
        <v>953</v>
      </c>
      <c r="J27" s="16" t="s">
        <v>1044</v>
      </c>
      <c r="K27" s="16" t="s">
        <v>935</v>
      </c>
      <c r="N27" s="16" t="s">
        <v>841</v>
      </c>
      <c r="O27" s="16">
        <v>16</v>
      </c>
      <c r="P27" s="16" t="s">
        <v>843</v>
      </c>
      <c r="Q27" s="15" t="s">
        <v>1055</v>
      </c>
      <c r="T27" s="16" t="s">
        <v>949</v>
      </c>
      <c r="W27" s="16" t="s">
        <v>938</v>
      </c>
      <c r="Z27" s="16" t="s">
        <v>843</v>
      </c>
      <c r="AB27" s="16" t="s">
        <v>951</v>
      </c>
      <c r="AC27" s="16">
        <v>16</v>
      </c>
      <c r="AD27" s="15" t="s">
        <v>1056</v>
      </c>
      <c r="AE27" s="16" t="s">
        <v>952</v>
      </c>
      <c r="AF27" s="16" t="str">
        <f>CONCATENATE( C1,C27,CHAR(10), D1,D27,CHAR(10), E1,E27,CHAR(10), F1,F27,CHAR(10), G1,G27,CHAR(10), H1,H27,CHAR(10), I1,I27,CHAR(10), J1,J27,CHAR(10), K1,K27,CHAR(10), L1,L27,CHAR(10), M1,M27,CHAR(10), N1,N27,CHAR(10), O1,O27,CHAR(10), P1,P27,CHAR(10), Q1,Q27,CHAR(10), R1,R27,CHAR(10), S1,S27,CHAR(10), U1,U27,CHAR(10), V1,V27,CHAR(10), W1,W27,CHAR(10), X1,X27,CHAR(10), Y1,Y27,CHAR(10), Z1,Z27,CHAR(10), AA1,AA27,CHAR(10), AB1,AB27,CHAR(10), AC1,AC27,CHAR(10), AD1,AD27,CHAR(10), )</f>
        <v xml:space="preserve">Рабочее напряжение:220В – 240 В 50/60 Гц
Питание:
Тип цоколя лампы:
Источник(и) света:OsramSirius HRI 180/230W
Тип лампы:
Мощность LED лампы:
Цветовая температура:
Угол раскрытия луча:17-31⁰
Угол панарамы:горизонт 540° вертикаль 270°
Ширина луча:
Гидромониторное расстояние:
Управление:DMX
Каналов DMX:16
Диммер:0-100%
Gobo:17 фикс. гобо+пустая позиция, 10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Фокусировка:0-100%
CRI (Ra&gt;):
Габариты:315x339x530 мм
Вес(kg):16
Особенности:Звуковая активация, Автокоррекция движения, до 540 градусов по горизонтали, до 250 градусов по вертикали
</v>
      </c>
      <c r="AG27" s="23">
        <v>39900</v>
      </c>
      <c r="AH27" s="72" t="s">
        <v>1827</v>
      </c>
      <c r="AI27" s="72" t="str">
        <f t="shared" si="0"/>
        <v>MCFSpotBeam 230W Интеллектуальная голова</v>
      </c>
      <c r="AJ27" s="72" t="str">
        <f t="shared" si="1"/>
        <v>MCFSpotBeam 230W Интеллектуальная голова</v>
      </c>
      <c r="AK27" s="72" t="s">
        <v>1840</v>
      </c>
      <c r="AM27" s="72" t="s">
        <v>1837</v>
      </c>
      <c r="AN27" s="72" t="s">
        <v>1841</v>
      </c>
      <c r="AO27" s="72" t="s">
        <v>1842</v>
      </c>
      <c r="AP27" s="72" t="s">
        <v>1843</v>
      </c>
      <c r="AQ27" s="72" t="s">
        <v>1844</v>
      </c>
      <c r="AR27" s="72" t="s">
        <v>1837</v>
      </c>
    </row>
    <row r="28" spans="1:44" s="15" customFormat="1" ht="59.25" customHeight="1" x14ac:dyDescent="0.25">
      <c r="A28" s="48">
        <v>27</v>
      </c>
      <c r="B28" s="12" t="s">
        <v>1058</v>
      </c>
      <c r="C28" s="16" t="s">
        <v>835</v>
      </c>
      <c r="F28" s="16" t="s">
        <v>955</v>
      </c>
      <c r="J28" s="16" t="s">
        <v>956</v>
      </c>
      <c r="K28" s="16" t="s">
        <v>935</v>
      </c>
      <c r="N28" s="16" t="s">
        <v>841</v>
      </c>
      <c r="O28" s="16" t="s">
        <v>957</v>
      </c>
      <c r="P28" s="16" t="s">
        <v>843</v>
      </c>
      <c r="Q28" s="15" t="s">
        <v>1059</v>
      </c>
      <c r="T28" s="16" t="s">
        <v>958</v>
      </c>
      <c r="W28" s="16" t="s">
        <v>959</v>
      </c>
      <c r="Z28" s="16" t="s">
        <v>843</v>
      </c>
      <c r="AB28" s="16" t="s">
        <v>960</v>
      </c>
      <c r="AC28" s="16">
        <v>19</v>
      </c>
      <c r="AD28" s="15" t="s">
        <v>1060</v>
      </c>
      <c r="AE28" s="16" t="s">
        <v>954</v>
      </c>
      <c r="AF28" s="16" t="str">
        <f>CONCATENATE( C1,C28,CHAR(10), D1,D28,CHAR(10), E1,E28,CHAR(10), F1,F28,CHAR(10), G1,G28,CHAR(10), H1,H28,CHAR(10), I1,I28,CHAR(10), J1,J28,CHAR(10), K1,K28,CHAR(10), L1,L28,CHAR(10), M1,M28,CHAR(10), N1,N28,CHAR(10), O1,O28,CHAR(10), P1,P28,CHAR(10), Q1,Q28,CHAR(10), R1,R28,CHAR(10), S1,S28,CHAR(10), U1,U28,CHAR(10), V1,V28,CHAR(10), W1,W28,CHAR(10), X1,X28,CHAR(10), Y1,Y28,CHAR(10), Z1,Z28,CHAR(10), AA1,AA28,CHAR(10), AB1,AB28,CHAR(10), AC1,AC28,CHAR(10), AD1,AD28,CHAR(10), )</f>
        <v xml:space="preserve">Рабочее напряжение:220В – 240 В 50/60 Гц
Питание:
Тип цоколя лампы:
Источник(и) света:Osram HRI 280W
Тип лампы:
Мощность LED лампы:
Цветовая температура:
Угол раскрытия луча:4-38°
Угол панарамы:горизонт 540° вертикаль 270°
Ширина луча:
Гидромониторное расстояние:
Управление:DMX
Каналов DMX:16/24
Диммер:0-100%
Gobo:14 фикс. гобо+пустая позиция, 9 вращ. гобо+пустая позиция
Электронная диафрагма:
Цветовой диск с 8 цветами:
Световой поток:
Световой КПД:
Строб:0.5 - 9 вспышек в секунду
Светодиод:
Рабочая температура:
Фокусировка:0-100%
CRI (Ra&gt;):
Габариты:386x365x589 мм
Вес(kg):19
Особенности:до 540 градусов по горизонтали, до 270 градусовпо вертикали
</v>
      </c>
      <c r="AG28" s="23">
        <v>59900</v>
      </c>
      <c r="AH28" s="72" t="s">
        <v>1827</v>
      </c>
      <c r="AI28" s="72" t="str">
        <f t="shared" si="0"/>
        <v>MCFSpotBeam 280W Интеллектуальная голова</v>
      </c>
      <c r="AJ28" s="72" t="str">
        <f t="shared" si="1"/>
        <v>MCFSpotBeam 280W Интеллектуальная голова</v>
      </c>
      <c r="AK28" s="72" t="s">
        <v>1840</v>
      </c>
      <c r="AM28" s="72" t="s">
        <v>1837</v>
      </c>
      <c r="AN28" s="72" t="s">
        <v>1841</v>
      </c>
      <c r="AO28" s="72" t="s">
        <v>1842</v>
      </c>
      <c r="AP28" s="72" t="s">
        <v>1843</v>
      </c>
      <c r="AQ28" s="72" t="s">
        <v>1844</v>
      </c>
      <c r="AR28" s="72" t="s">
        <v>1837</v>
      </c>
    </row>
    <row r="29" spans="1:44" s="15" customFormat="1" ht="59.25" customHeight="1" x14ac:dyDescent="0.25">
      <c r="A29" s="48">
        <v>28</v>
      </c>
      <c r="B29" s="12" t="s">
        <v>1061</v>
      </c>
      <c r="C29" s="16" t="s">
        <v>835</v>
      </c>
      <c r="F29" s="16" t="s">
        <v>961</v>
      </c>
      <c r="J29" s="16" t="s">
        <v>962</v>
      </c>
      <c r="K29" s="16" t="s">
        <v>935</v>
      </c>
      <c r="N29" s="16" t="s">
        <v>841</v>
      </c>
      <c r="O29" s="16">
        <v>16</v>
      </c>
      <c r="P29" s="16" t="s">
        <v>843</v>
      </c>
      <c r="Q29" s="15" t="s">
        <v>1047</v>
      </c>
      <c r="T29" s="16" t="s">
        <v>937</v>
      </c>
      <c r="W29" s="16" t="s">
        <v>938</v>
      </c>
      <c r="AB29" s="16" t="s">
        <v>963</v>
      </c>
      <c r="AC29" s="16">
        <v>13</v>
      </c>
      <c r="AD29" s="15" t="s">
        <v>1062</v>
      </c>
      <c r="AE29" s="16" t="s">
        <v>563</v>
      </c>
      <c r="AF29" s="16" t="str">
        <f>CONCATENATE( C1,C29,CHAR(10), D1,D29,CHAR(10), E1,E29,CHAR(10), F1,F29,CHAR(10), G1,G29,CHAR(10), H1,H29,CHAR(10), I1,I29,CHAR(10), J1,J29,CHAR(10), K1,K29,CHAR(10), L1,L29,CHAR(10), M1,M29,CHAR(10), N1,N29,CHAR(10), O1,O29,CHAR(10), P1,P29,CHAR(10), Q1,Q29,CHAR(10), R1,R29,CHAR(10), S1,S29,CHAR(10), U1,U29,CHAR(10), V1,V29,CHAR(10), W1,W29,CHAR(10), X1,X29,CHAR(10), Y1,Y29,CHAR(10), Z1,Z29,CHAR(10), AA1,AA29,CHAR(10), AB1,AB29,CHAR(10), AC1,AC29,CHAR(10), AD1,AD29,CHAR(10), )</f>
        <v xml:space="preserve">Рабочее напряжение:220В – 240 В 50/60 Гц
Питание:
Тип цоколя лампы:
Источник(и) света:LED 90 Вт белый
Тип лампы:
Мощность LED лампы:
Цветовая температура:
Угол раскрытия луча:15°
Угол панарамы:горизонт 540° вертикаль 270°
Ширина луча:
Гидромониторное расстояние:
Управление:DMX
Каналов DMX:16
Диммер:0-100%
Gobo:7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Габариты:485х370х385 мм
Вес(kg):13
Особенности:Призма: 3-х фасетнаявращ. Автокоррекция движения, до 540 градусов по горизонтали, до 255 градусов по вертикали
</v>
      </c>
      <c r="AG29" s="23">
        <v>39900</v>
      </c>
      <c r="AH29" s="72" t="s">
        <v>1827</v>
      </c>
      <c r="AI29" s="72" t="str">
        <f t="shared" si="0"/>
        <v>MCFLEDSpot 90WRGBWY Интеллектуальная голова</v>
      </c>
      <c r="AJ29" s="72" t="str">
        <f t="shared" si="1"/>
        <v>MCFLEDSpot 90WRGBWY Интеллектуальная голова</v>
      </c>
      <c r="AK29" s="72" t="s">
        <v>1840</v>
      </c>
      <c r="AM29" s="72" t="s">
        <v>1837</v>
      </c>
      <c r="AN29" s="72" t="s">
        <v>1841</v>
      </c>
      <c r="AO29" s="72" t="s">
        <v>1842</v>
      </c>
      <c r="AP29" s="72" t="s">
        <v>1843</v>
      </c>
      <c r="AQ29" s="72" t="s">
        <v>1844</v>
      </c>
      <c r="AR29" s="72" t="s">
        <v>1837</v>
      </c>
    </row>
    <row r="30" spans="1:44" s="15" customFormat="1" ht="59.25" customHeight="1" x14ac:dyDescent="0.25">
      <c r="A30" s="48">
        <v>29</v>
      </c>
      <c r="B30" s="12" t="s">
        <v>1063</v>
      </c>
      <c r="C30" s="16" t="s">
        <v>835</v>
      </c>
      <c r="F30" s="16" t="s">
        <v>964</v>
      </c>
      <c r="J30" s="16" t="s">
        <v>962</v>
      </c>
      <c r="K30" s="16" t="s">
        <v>935</v>
      </c>
      <c r="N30" s="16" t="s">
        <v>841</v>
      </c>
      <c r="O30" s="16">
        <v>16</v>
      </c>
      <c r="P30" s="16" t="s">
        <v>843</v>
      </c>
      <c r="Q30" s="15" t="s">
        <v>1047</v>
      </c>
      <c r="T30" s="16" t="s">
        <v>937</v>
      </c>
      <c r="W30" s="16" t="s">
        <v>938</v>
      </c>
      <c r="AB30" s="16" t="s">
        <v>963</v>
      </c>
      <c r="AC30" s="16">
        <v>13</v>
      </c>
      <c r="AD30" s="15" t="s">
        <v>1062</v>
      </c>
      <c r="AE30" s="16" t="s">
        <v>911</v>
      </c>
      <c r="AF30" s="16" t="str">
        <f>CONCATENATE( C1,C30,CHAR(10), D1,D30,CHAR(10), E1,E30,CHAR(10), F1,F30,CHAR(10), G1,G30,CHAR(10), H1,H30,CHAR(10), I1,I30,CHAR(10), J1,J30,CHAR(10), K1,K30,CHAR(10), L1,L30,CHAR(10), M1,M30,CHAR(10), N1,N30,CHAR(10), O1,O30,CHAR(10), P1,P30,CHAR(10), Q1,Q30,CHAR(10), R1,R30,CHAR(10), S1,S30,CHAR(10), U1,U30,CHAR(10), V1,V30,CHAR(10), W1,W30,CHAR(10), X1,X30,CHAR(10), Y1,Y30,CHAR(10), Z1,Z30,CHAR(10), AA1,AA30,CHAR(10), AB1,AB30,CHAR(10), AC1,AC30,CHAR(10), AD1,AD30,CHAR(10), )</f>
        <v xml:space="preserve">Рабочее напряжение:220В – 240 В 50/60 Гц
Питание:
Тип цоколя лампы:
Источник(и) света:LED 120 Вт белый
Тип лампы:
Мощность LED лампы:
Цветовая температура:
Угол раскрытия луча:15°
Угол панарамы:горизонт 540° вертикаль 270°
Ширина луча:
Гидромониторное расстояние:
Управление:DMX
Каналов DMX:16
Диммер:0-100%
Gobo:7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Габариты:485х370х385 мм
Вес(kg):13
Особенности:Призма: 3-х фасетнаявращ. Автокоррекция движения, до 540 градусов по горизонтали, до 255 градусов по вертикали
</v>
      </c>
      <c r="AG30" s="23">
        <v>44900</v>
      </c>
      <c r="AH30" s="72" t="s">
        <v>1827</v>
      </c>
      <c r="AI30" s="72" t="str">
        <f t="shared" si="0"/>
        <v>MCFLEDSpot 120WRGBWY  Интеллектуальная голова</v>
      </c>
      <c r="AJ30" s="72" t="str">
        <f t="shared" si="1"/>
        <v>MCFLEDSpot 120WRGBWY  Интеллектуальная голова</v>
      </c>
      <c r="AK30" s="72" t="s">
        <v>1840</v>
      </c>
      <c r="AM30" s="72" t="s">
        <v>1837</v>
      </c>
      <c r="AN30" s="72" t="s">
        <v>1841</v>
      </c>
      <c r="AO30" s="72" t="s">
        <v>1842</v>
      </c>
      <c r="AP30" s="72" t="s">
        <v>1843</v>
      </c>
      <c r="AQ30" s="72" t="s">
        <v>1844</v>
      </c>
      <c r="AR30" s="72" t="s">
        <v>1837</v>
      </c>
    </row>
    <row r="31" spans="1:44" s="15" customFormat="1" ht="59.25" customHeight="1" x14ac:dyDescent="0.25">
      <c r="A31" s="48">
        <v>30</v>
      </c>
      <c r="B31" s="12" t="s">
        <v>1064</v>
      </c>
      <c r="C31" s="16" t="s">
        <v>835</v>
      </c>
      <c r="F31" s="16" t="s">
        <v>966</v>
      </c>
      <c r="J31" s="16" t="s">
        <v>956</v>
      </c>
      <c r="K31" s="16" t="s">
        <v>935</v>
      </c>
      <c r="N31" s="16" t="s">
        <v>868</v>
      </c>
      <c r="O31" s="16" t="s">
        <v>967</v>
      </c>
      <c r="P31" s="16" t="s">
        <v>843</v>
      </c>
      <c r="Q31" s="15" t="s">
        <v>1065</v>
      </c>
      <c r="T31" s="16" t="s">
        <v>937</v>
      </c>
      <c r="W31" s="16" t="s">
        <v>938</v>
      </c>
      <c r="AB31" s="16" t="s">
        <v>968</v>
      </c>
      <c r="AC31" s="16" t="s">
        <v>1872</v>
      </c>
      <c r="AD31" s="16" t="s">
        <v>969</v>
      </c>
      <c r="AE31" s="16" t="s">
        <v>965</v>
      </c>
      <c r="AF31" s="16" t="str">
        <f>CONCATENATE( C1,C31,CHAR(10), D1,D31,CHAR(10), E1,E31,CHAR(10), F1,F31,CHAR(10), G1,G31,CHAR(10), H1,H31,CHAR(10), I1,I31,CHAR(10), J1,J31,CHAR(10), K1,K31,CHAR(10), L1,L31,CHAR(10), M1,M31,CHAR(10), N1,N31,CHAR(10), O1,O31,CHAR(10), P1,P31,CHAR(10), Q1,Q31,CHAR(10), R1,R31,CHAR(10), S1,S31,CHAR(10), U1,U31,CHAR(10), V1,V31,CHAR(10), W1,W31,CHAR(10), X1,X31,CHAR(10), Y1,Y31,CHAR(10), Z1,Z31,CHAR(10), AA1,AA31,CHAR(10), AB1,AB31,CHAR(10), AC1,AC31,CHAR(10), AD1,AD31,CHAR(10), )</f>
        <v xml:space="preserve">Рабочее напряжение:220В – 240 В 50/60 Гц
Питание:
Тип цоколя лампы:
Источник(и) света:LED 250 Вт 
Тип лампы:
Мощность LED лампы:
Цветовая температура:
Угол раскрытия луча:4-38°
Угол панарамы:горизонт 540° вертикаль 270°
Ширина луча:
Гидромониторное расстояние:
Управление:DMX, Звуковая активация, авто режим (Master / Slave)
Каналов DMX:18/22
Диммер:0-100%
Gobo:10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Габариты:240х340х510 мм
Вес(kg):12,5
Особенности:- Призма: 6-х линейная призма и 8 призматическая фатура
</v>
      </c>
      <c r="AG31" s="23">
        <v>59900</v>
      </c>
      <c r="AH31" s="72" t="s">
        <v>1827</v>
      </c>
      <c r="AI31" s="72" t="str">
        <f t="shared" si="0"/>
        <v>MCFLEDBeamSpot250W Интеллектуальная голова</v>
      </c>
      <c r="AJ31" s="72" t="str">
        <f t="shared" si="1"/>
        <v>MCFLEDBeamSpot250W Интеллектуальная голова</v>
      </c>
      <c r="AK31" s="72" t="s">
        <v>1840</v>
      </c>
      <c r="AM31" s="72" t="s">
        <v>1837</v>
      </c>
      <c r="AN31" s="72" t="s">
        <v>1841</v>
      </c>
      <c r="AO31" s="72" t="s">
        <v>1842</v>
      </c>
      <c r="AP31" s="72" t="s">
        <v>1843</v>
      </c>
      <c r="AQ31" s="72" t="s">
        <v>1844</v>
      </c>
      <c r="AR31" s="72" t="s">
        <v>1837</v>
      </c>
    </row>
    <row r="32" spans="1:44" s="15" customFormat="1" ht="59.25" customHeight="1" x14ac:dyDescent="0.25">
      <c r="A32" s="48">
        <v>31</v>
      </c>
      <c r="B32" s="12" t="s">
        <v>1066</v>
      </c>
      <c r="C32" s="16" t="s">
        <v>835</v>
      </c>
      <c r="F32" s="16" t="s">
        <v>970</v>
      </c>
      <c r="J32" s="16" t="s">
        <v>956</v>
      </c>
      <c r="K32" s="16" t="s">
        <v>935</v>
      </c>
      <c r="N32" s="16" t="s">
        <v>868</v>
      </c>
      <c r="O32" s="16" t="s">
        <v>967</v>
      </c>
      <c r="P32" s="16" t="s">
        <v>843</v>
      </c>
      <c r="Q32" s="15" t="s">
        <v>1065</v>
      </c>
      <c r="T32" s="16" t="s">
        <v>937</v>
      </c>
      <c r="W32" s="16" t="s">
        <v>938</v>
      </c>
      <c r="AB32" s="16" t="s">
        <v>971</v>
      </c>
      <c r="AC32" s="16">
        <v>23</v>
      </c>
      <c r="AD32" s="16" t="s">
        <v>969</v>
      </c>
      <c r="AE32" s="16" t="s">
        <v>592</v>
      </c>
      <c r="AF32" s="16" t="str">
        <f>CONCATENATE( C1,C32,CHAR(10), D1,D32,CHAR(10), E1,E32,CHAR(10), F1,F32,CHAR(10), G1,G32,CHAR(10), H1,H32,CHAR(10), I1,I32,CHAR(10), J1,J32,CHAR(10), K1,K32,CHAR(10), L1,L32,CHAR(10), M1,M32,CHAR(10), N1,N32,CHAR(10), O1,O32,CHAR(10), P1,P32,CHAR(10), Q1,Q32,CHAR(10), R1,R32,CHAR(10), S1,S32,CHAR(10), U1,U32,CHAR(10), V1,V32,CHAR(10), W1,W32,CHAR(10), X1,X32,CHAR(10), Y1,Y32,CHAR(10), Z1,Z32,CHAR(10), AA1,AA32,CHAR(10), AB1,AB32,CHAR(10), AC1,AC32,CHAR(10), AD1,AD32,CHAR(10), )</f>
        <v xml:space="preserve">Рабочее напряжение:220В – 240 В 50/60 Гц
Питание:
Тип цоколя лампы:
Источник(и) света:LED 350 Вт белый
Тип лампы:
Мощность LED лампы:
Цветовая температура:
Угол раскрытия луча:4-38°
Угол панарамы:горизонт 540° вертикаль 270°
Ширина луча:
Гидромониторное расстояние:
Управление:DMX, Звуковая активация, авто режим (Master / Slave)
Каналов DMX:18/22
Диммер:0-100%
Gobo:10 фикс. гобо+пустая позиция, 7 вращ. гобо+пустая позиция
Электронная диафрагма:
Цветовой диск с 8 цветами:
Световой поток:
Световой КПД:
Строб:1 - 9 вспышек в секунду
Светодиод:
Рабочая температура:
Фокусировка:
CRI (Ra&gt;):
Габариты:450х280х680 мм
Вес(kg):23
Особенности:- Призма: 6-х линейная призма и 8 призматическая фатура
</v>
      </c>
      <c r="AG32" s="23">
        <v>69900</v>
      </c>
      <c r="AH32" s="72" t="s">
        <v>1827</v>
      </c>
      <c r="AI32" s="72" t="str">
        <f t="shared" si="0"/>
        <v>MCF LED Beam Spot 350W Интеллектуальная голова</v>
      </c>
      <c r="AJ32" s="72" t="str">
        <f t="shared" si="1"/>
        <v>MCF LED Beam Spot 350W Интеллектуальная голова</v>
      </c>
      <c r="AK32" s="72" t="s">
        <v>1840</v>
      </c>
      <c r="AM32" s="72" t="s">
        <v>1837</v>
      </c>
      <c r="AN32" s="72" t="s">
        <v>1841</v>
      </c>
      <c r="AO32" s="72" t="s">
        <v>1842</v>
      </c>
      <c r="AP32" s="72" t="s">
        <v>1843</v>
      </c>
      <c r="AQ32" s="72" t="s">
        <v>1844</v>
      </c>
      <c r="AR32" s="72" t="s">
        <v>1837</v>
      </c>
    </row>
    <row r="33" spans="1:44" s="15" customFormat="1" ht="59.25" customHeight="1" x14ac:dyDescent="0.25">
      <c r="A33" s="48">
        <v>32</v>
      </c>
      <c r="B33" s="12" t="s">
        <v>1067</v>
      </c>
      <c r="C33" s="16" t="s">
        <v>835</v>
      </c>
      <c r="F33" s="16" t="s">
        <v>972</v>
      </c>
      <c r="J33" s="16" t="s">
        <v>973</v>
      </c>
      <c r="K33" s="16" t="s">
        <v>935</v>
      </c>
      <c r="N33" s="16" t="s">
        <v>868</v>
      </c>
      <c r="O33" s="16">
        <v>15</v>
      </c>
      <c r="P33" s="16" t="s">
        <v>843</v>
      </c>
      <c r="T33" s="16" t="s">
        <v>974</v>
      </c>
      <c r="X33" s="16" t="s">
        <v>853</v>
      </c>
      <c r="AB33" s="16" t="s">
        <v>975</v>
      </c>
      <c r="AC33" s="16" t="s">
        <v>1873</v>
      </c>
      <c r="AD33" s="16" t="s">
        <v>928</v>
      </c>
      <c r="AE33" s="16" t="s">
        <v>567</v>
      </c>
      <c r="AF33" s="16" t="str">
        <f>CONCATENATE( C1,C33,CHAR(10), D1,D33,CHAR(10), E1,E33,CHAR(10), F1,F33,CHAR(10), G1,G33,CHAR(10), H1,H33,CHAR(10), I1,I33,CHAR(10), J1,J33,CHAR(10), K1,K33,CHAR(10), L1,L33,CHAR(10), M1,M33,CHAR(10), N1,N33,CHAR(10), O1,O33,CHAR(10), P1,P33,CHAR(10), Q1,Q33,CHAR(10), R1,R33,CHAR(10), S1,S33,CHAR(10), U1,U33,CHAR(10), V1,V33,CHAR(10), W1,W33,CHAR(10), X1,X33,CHAR(10), Y1,Y33,CHAR(10), Z1,Z33,CHAR(10), AA1,AA33,CHAR(10), AB1,AB33,CHAR(10), AC1,AC33,CHAR(10), AD1,AD33,CHAR(10), )</f>
        <v xml:space="preserve">Рабочее напряжение:220В – 240 В 50/60 Гц
Питание:
Тип цоколя лампы:
Источник(и) света:LED 12x10W 
Тип лампы:
Мощность LED лампы:
Цветовая температура:
Угол раскрытия луча:45° 
Угол панарамы:горизонт 540° вертикаль 270°
Ширина луча:
Гидромониторное расстояние:
Управление:DMX, Звуковая активация, авто режим (Master / Slave)
Каналов DMX:15
Диммер:0-100%
Gobo:
Электронная диафрагма:
Цветовой диск с 8 цветами:
Световой поток:
Световой КПД:
Строб:
Светодиод:50 000 часов работы
Рабочая температура:
Фокусировка:
CRI (Ra&gt;):
Габариты:260х260х300 мм
Вес(kg):6,5
Особенности:- Влагозащита: IP20
</v>
      </c>
      <c r="AG33" s="23">
        <v>19900</v>
      </c>
      <c r="AH33" s="72" t="s">
        <v>1827</v>
      </c>
      <c r="AI33" s="72" t="str">
        <f t="shared" si="0"/>
        <v>MCF LED Wash 120W Multi Интеллектуальная голова</v>
      </c>
      <c r="AJ33" s="72" t="str">
        <f t="shared" si="1"/>
        <v>MCF LED Wash 120W Multi Интеллектуальная голова</v>
      </c>
      <c r="AK33" s="72" t="s">
        <v>1840</v>
      </c>
      <c r="AM33" s="72" t="s">
        <v>1837</v>
      </c>
      <c r="AN33" s="72" t="s">
        <v>1841</v>
      </c>
      <c r="AO33" s="72" t="s">
        <v>1842</v>
      </c>
      <c r="AP33" s="72" t="s">
        <v>1843</v>
      </c>
      <c r="AQ33" s="72" t="s">
        <v>1844</v>
      </c>
      <c r="AR33" s="72" t="s">
        <v>1837</v>
      </c>
    </row>
    <row r="34" spans="1:44" s="15" customFormat="1" ht="59.25" customHeight="1" x14ac:dyDescent="0.25">
      <c r="A34" s="48">
        <v>33</v>
      </c>
      <c r="B34" s="12" t="s">
        <v>1068</v>
      </c>
      <c r="C34" s="16" t="s">
        <v>835</v>
      </c>
      <c r="F34" s="16" t="s">
        <v>976</v>
      </c>
      <c r="J34" s="16" t="s">
        <v>977</v>
      </c>
      <c r="K34" s="16" t="s">
        <v>935</v>
      </c>
      <c r="N34" s="16" t="s">
        <v>978</v>
      </c>
      <c r="O34" s="16" t="s">
        <v>979</v>
      </c>
      <c r="P34" s="16" t="s">
        <v>843</v>
      </c>
      <c r="T34" s="16" t="s">
        <v>974</v>
      </c>
      <c r="W34" s="16" t="s">
        <v>863</v>
      </c>
      <c r="X34" s="16" t="s">
        <v>853</v>
      </c>
      <c r="AB34" s="16" t="s">
        <v>980</v>
      </c>
      <c r="AC34" s="16">
        <v>15</v>
      </c>
      <c r="AD34" s="16" t="s">
        <v>981</v>
      </c>
      <c r="AE34" s="16" t="s">
        <v>587</v>
      </c>
      <c r="AF34" s="16" t="str">
        <f>CONCATENATE( C1,C34,CHAR(10), D1,D34,CHAR(10), E1,E34,CHAR(10), F1,F34,CHAR(10), G1,G34,CHAR(10), H1,H34,CHAR(10), I1,I34,CHAR(10), J1,J34,CHAR(10), K1,K34,CHAR(10), L1,L34,CHAR(10), M1,M34,CHAR(10), N1,N34,CHAR(10), O1,O34,CHAR(10), P1,P34,CHAR(10), Q1,Q34,CHAR(10), R1,R34,CHAR(10), S1,S34,CHAR(10), U1,U34,CHAR(10), V1,V34,CHAR(10), W1,W34,CHAR(10), X1,X34,CHAR(10), Y1,Y34,CHAR(10), Z1,Z34,CHAR(10), AA1,AA34,CHAR(10), AB1,AB34,CHAR(10), AC1,AC34,CHAR(10), AD1,AD34,CHAR(10), )</f>
        <v xml:space="preserve">Рабочее напряжение:220В – 240 В 50/60 Гц
Питание:
Тип цоколя лампы:
Источник(и) света:LED 25x12W multi
Тип лампы:
Мощность LED лампы:
Цветовая температура:
Угол раскрытия луча:38°
Угол панарамы:горизонт 540° вертикаль 270°
Ширина луча:
Гидромониторное расстояние:
Управление:DMX, Звуковая активация, авто режим ( Master / Slave )
Каналов DMX:14/114
Диммер:0-100%
Gobo:
Электронная диафрагма:
Цветовой диск с 8 цветами:
Световой поток:
Световой КПД:
Строб:1 - 30 вспышек в секунду
Светодиод:50 000 часов работы
Рабочая температура:
Фокусировка:
CRI (Ra&gt;):
Габариты:380х290х500 мм
Вес(kg):15
Особенности:Влагозащита: IP20
</v>
      </c>
      <c r="AG34" s="23">
        <v>49900</v>
      </c>
      <c r="AH34" s="72" t="s">
        <v>1827</v>
      </c>
      <c r="AI34" s="72" t="str">
        <f t="shared" si="0"/>
        <v>MCF LED Wash 300W  RGBW multi Интеллектуальная голова</v>
      </c>
      <c r="AJ34" s="72" t="str">
        <f t="shared" si="1"/>
        <v>MCF LED Wash 300W  RGBW multi Интеллектуальная голова</v>
      </c>
      <c r="AK34" s="72" t="s">
        <v>1840</v>
      </c>
      <c r="AM34" s="72" t="s">
        <v>1837</v>
      </c>
      <c r="AN34" s="72" t="s">
        <v>1841</v>
      </c>
      <c r="AO34" s="72" t="s">
        <v>1842</v>
      </c>
      <c r="AP34" s="72" t="s">
        <v>1843</v>
      </c>
      <c r="AQ34" s="72" t="s">
        <v>1844</v>
      </c>
      <c r="AR34" s="72" t="s">
        <v>1837</v>
      </c>
    </row>
    <row r="35" spans="1:44" s="15" customFormat="1" ht="59.25" customHeight="1" x14ac:dyDescent="0.25">
      <c r="A35" s="48">
        <v>34</v>
      </c>
      <c r="B35" s="12" t="s">
        <v>1069</v>
      </c>
      <c r="C35" s="16" t="s">
        <v>835</v>
      </c>
      <c r="F35" s="16" t="s">
        <v>983</v>
      </c>
      <c r="J35" s="16" t="s">
        <v>962</v>
      </c>
      <c r="K35" s="16" t="s">
        <v>935</v>
      </c>
      <c r="N35" s="16" t="s">
        <v>978</v>
      </c>
      <c r="O35" s="86" t="s">
        <v>1070</v>
      </c>
      <c r="P35" s="16" t="s">
        <v>843</v>
      </c>
      <c r="T35" s="16" t="s">
        <v>974</v>
      </c>
      <c r="W35" s="16" t="s">
        <v>984</v>
      </c>
      <c r="AB35" s="16" t="s">
        <v>985</v>
      </c>
      <c r="AC35" s="16">
        <v>10</v>
      </c>
      <c r="AD35" s="16" t="s">
        <v>981</v>
      </c>
      <c r="AE35" s="16" t="s">
        <v>982</v>
      </c>
      <c r="AF35" s="16" t="str">
        <f>CONCATENATE( C1,C35,CHAR(10), D1,D35,CHAR(10), E1,E35,CHAR(10), F1,F35,CHAR(10), G1,G35,CHAR(10), H1,H35,CHAR(10), I1,I35,CHAR(10), J1,J35,CHAR(10), K1,K35,CHAR(10), L1,L35,CHAR(10), M1,M35,CHAR(10), N1,N35,CHAR(10), O1,O35,CHAR(10), P1,P35,CHAR(10), Q1,Q35,CHAR(10), R1,R35,CHAR(10), S1,S35,CHAR(10), U1,U35,CHAR(10), V1,V35,CHAR(10), W1,W35,CHAR(10), X1,X35,CHAR(10), Y1,Y35,CHAR(10), Z1,Z35,CHAR(10), AA1,AA35,CHAR(10), AB1,AB35,CHAR(10), AC1,AC35,CHAR(10), AD1,AD35,CHAR(10), )</f>
        <v xml:space="preserve">Рабочее напряжение:220В – 240 В 50/60 Гц
Питание:
Тип цоколя лампы:
Источник(и) света:LED 36х3W multi
Тип лампы:
Мощность LED лампы:
Цветовая температура:
Угол раскрытия луча:15°
Угол панарамы:горизонт 540° вертикаль 270°
Ширина луча:
Гидромониторное расстояние:
Управление:DMX, Звуковая активация, авто режим ( Master / Slave )
Каналов DMX:9/14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Вес(kg):10
Особенности:Влагозащита: IP20
</v>
      </c>
      <c r="AG35" s="23">
        <v>19900</v>
      </c>
      <c r="AH35" s="72" t="s">
        <v>1827</v>
      </c>
      <c r="AI35" s="72" t="str">
        <f t="shared" si="0"/>
        <v>MCF LED Wash 108 W Интеллектуальная голова</v>
      </c>
      <c r="AJ35" s="72" t="str">
        <f t="shared" si="1"/>
        <v>MCF LED Wash 108 W Интеллектуальная голова</v>
      </c>
      <c r="AK35" s="72" t="s">
        <v>1840</v>
      </c>
      <c r="AM35" s="72" t="s">
        <v>1837</v>
      </c>
      <c r="AN35" s="72" t="s">
        <v>1841</v>
      </c>
      <c r="AO35" s="72" t="s">
        <v>1842</v>
      </c>
      <c r="AP35" s="72" t="s">
        <v>1843</v>
      </c>
      <c r="AQ35" s="72" t="s">
        <v>1844</v>
      </c>
      <c r="AR35" s="72" t="s">
        <v>1837</v>
      </c>
    </row>
    <row r="36" spans="1:44" s="15" customFormat="1" ht="59.25" customHeight="1" x14ac:dyDescent="0.25">
      <c r="A36" s="48">
        <v>35</v>
      </c>
      <c r="B36" s="12" t="s">
        <v>1071</v>
      </c>
      <c r="C36" s="16" t="s">
        <v>835</v>
      </c>
      <c r="F36" s="16" t="s">
        <v>987</v>
      </c>
      <c r="J36" s="16" t="s">
        <v>988</v>
      </c>
      <c r="K36" s="16" t="s">
        <v>989</v>
      </c>
      <c r="N36" s="16" t="s">
        <v>978</v>
      </c>
      <c r="O36" s="16" t="s">
        <v>990</v>
      </c>
      <c r="P36" s="16" t="s">
        <v>843</v>
      </c>
      <c r="T36" s="16" t="s">
        <v>991</v>
      </c>
      <c r="W36" s="16" t="s">
        <v>984</v>
      </c>
      <c r="AB36" s="16" t="s">
        <v>985</v>
      </c>
      <c r="AC36" s="16">
        <v>11</v>
      </c>
      <c r="AD36" s="15" t="s">
        <v>1072</v>
      </c>
      <c r="AE36" s="16" t="s">
        <v>986</v>
      </c>
      <c r="AF36" s="16" t="str">
        <f>CONCATENATE( C1,C36,CHAR(10), D1,D36,CHAR(10), E1,E36,CHAR(10), F1,F36,CHAR(10), G1,G36,CHAR(10), H1,H36,CHAR(10), I1,I36,CHAR(10), J1,J36,CHAR(10), K1,K36,CHAR(10), L1,L36,CHAR(10), M1,M36,CHAR(10), N1,N36,CHAR(10), O1,O36,CHAR(10), P1,P36,CHAR(10), Q1,Q36,CHAR(10), R1,R36,CHAR(10), S1,S36,CHAR(10), U1,U36,CHAR(10), V1,V36,CHAR(10), W1,W36,CHAR(10), X1,X36,CHAR(10), Y1,Y36,CHAR(10), Z1,Z36,CHAR(10), AA1,AA36,CHAR(10), AB1,AB36,CHAR(10), AC1,AC36,CHAR(10), AD1,AD36,CHAR(10), )</f>
        <v xml:space="preserve">Рабочее напряжение:220В – 240 В 50/60 Гц
Питание:
Тип цоколя лампы:
Источник(и) света:LED 36х10W multi 
Тип лампы:
Мощность LED лампы:
Цветовая температура:
Угол раскрытия луча:10°- 50°
Угол панарамы:горизонт 540° вертикаль 200°
Ширина луча:
Гидромониторное расстояние:
Управление:DMX, Звуковая активация, авто режим ( Master / Slave )
Каналов DMX:16 with macro effect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
Особенности:Влагозащита: IP20, electronic Zoom
</v>
      </c>
      <c r="AG36" s="23">
        <v>39900</v>
      </c>
      <c r="AH36" s="72" t="s">
        <v>1827</v>
      </c>
      <c r="AI36" s="72" t="str">
        <f t="shared" si="0"/>
        <v>MCF LED Wash 360W RGBW Zoom Интеллектуальная голова</v>
      </c>
      <c r="AJ36" s="72" t="str">
        <f t="shared" si="1"/>
        <v>MCF LED Wash 360W RGBW Zoom Интеллектуальная голова</v>
      </c>
      <c r="AK36" s="72" t="s">
        <v>1840</v>
      </c>
      <c r="AM36" s="72" t="s">
        <v>1837</v>
      </c>
      <c r="AN36" s="72" t="s">
        <v>1841</v>
      </c>
      <c r="AO36" s="72" t="s">
        <v>1842</v>
      </c>
      <c r="AP36" s="72" t="s">
        <v>1843</v>
      </c>
      <c r="AQ36" s="72" t="s">
        <v>1844</v>
      </c>
      <c r="AR36" s="72" t="s">
        <v>1837</v>
      </c>
    </row>
    <row r="37" spans="1:44" s="15" customFormat="1" ht="59.25" customHeight="1" x14ac:dyDescent="0.25">
      <c r="A37" s="48">
        <v>36</v>
      </c>
      <c r="B37" s="12" t="s">
        <v>1073</v>
      </c>
      <c r="C37" s="16" t="s">
        <v>835</v>
      </c>
      <c r="F37" s="16" t="s">
        <v>987</v>
      </c>
      <c r="J37" s="16" t="s">
        <v>992</v>
      </c>
      <c r="K37" s="16" t="s">
        <v>989</v>
      </c>
      <c r="N37" s="16" t="s">
        <v>868</v>
      </c>
      <c r="O37" s="16" t="s">
        <v>990</v>
      </c>
      <c r="P37" s="16" t="s">
        <v>843</v>
      </c>
      <c r="T37" s="16" t="s">
        <v>991</v>
      </c>
      <c r="W37" s="16" t="s">
        <v>984</v>
      </c>
      <c r="AB37" s="16" t="s">
        <v>985</v>
      </c>
      <c r="AC37" s="16">
        <v>11</v>
      </c>
      <c r="AD37" s="16" t="s">
        <v>981</v>
      </c>
      <c r="AE37" s="16" t="s">
        <v>986</v>
      </c>
      <c r="AF37" s="16" t="str">
        <f>CONCATENATE( C1,C37,CHAR(10), D1,D37,CHAR(10), E1,E37,CHAR(10), F1,F37,CHAR(10), G1,G37,CHAR(10), H1,H37,CHAR(10), I1,I37,CHAR(10), J1,J37,CHAR(10), K1,K37,CHAR(10), L1,L37,CHAR(10), M1,M37,CHAR(10), N1,N37,CHAR(10), O1,O37,CHAR(10), P1,P37,CHAR(10), Q1,Q37,CHAR(10), R1,R37,CHAR(10), S1,S37,CHAR(10), U1,U37,CHAR(10), V1,V37,CHAR(10), W1,W37,CHAR(10), X1,X37,CHAR(10), Y1,Y37,CHAR(10), Z1,Z37,CHAR(10), AA1,AA37,CHAR(10), AB1,AB37,CHAR(10), AC1,AC37,CHAR(10), AD1,AD37,CHAR(10), )</f>
        <v xml:space="preserve">Рабочее напряжение:220В – 240 В 50/60 Гц
Питание:
Тип цоколя лампы:
Источник(и) света:LED 36х10W multi 
Тип лампы:
Мощность LED лампы:
Цветовая температура:
Угол раскрытия луча:45°
Угол панарамы:горизонт 540° вертикаль 200°
Ширина луча:
Гидромониторное расстояние:
Управление:DMX, Звуковая активация, авто режим (Master / Slave)
Каналов DMX:16 with macro effect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
Особенности:Влагозащита: IP20
</v>
      </c>
      <c r="AG37" s="23">
        <v>34900</v>
      </c>
      <c r="AH37" s="72" t="s">
        <v>1827</v>
      </c>
      <c r="AI37" s="72" t="str">
        <f t="shared" si="0"/>
        <v>MCF LED Wash 360W RGBW Интеллектуальная голова</v>
      </c>
      <c r="AJ37" s="72" t="str">
        <f t="shared" si="1"/>
        <v>MCF LED Wash 360W RGBW Интеллектуальная голова</v>
      </c>
      <c r="AK37" s="72" t="s">
        <v>1840</v>
      </c>
      <c r="AM37" s="72" t="s">
        <v>1837</v>
      </c>
      <c r="AN37" s="72" t="s">
        <v>1841</v>
      </c>
      <c r="AO37" s="72" t="s">
        <v>1842</v>
      </c>
      <c r="AP37" s="72" t="s">
        <v>1843</v>
      </c>
      <c r="AQ37" s="72" t="s">
        <v>1844</v>
      </c>
      <c r="AR37" s="72" t="s">
        <v>1837</v>
      </c>
    </row>
    <row r="38" spans="1:44" s="15" customFormat="1" ht="59.25" customHeight="1" x14ac:dyDescent="0.25">
      <c r="A38" s="48">
        <v>37</v>
      </c>
      <c r="B38" s="12" t="s">
        <v>1074</v>
      </c>
      <c r="C38" s="16" t="s">
        <v>835</v>
      </c>
      <c r="F38" s="16" t="s">
        <v>993</v>
      </c>
      <c r="J38" s="16" t="s">
        <v>994</v>
      </c>
      <c r="K38" s="16" t="s">
        <v>935</v>
      </c>
      <c r="N38" s="16" t="s">
        <v>868</v>
      </c>
      <c r="O38" s="86" t="s">
        <v>1076</v>
      </c>
      <c r="P38" s="16" t="s">
        <v>843</v>
      </c>
      <c r="T38" s="16" t="s">
        <v>991</v>
      </c>
      <c r="W38" s="16" t="s">
        <v>984</v>
      </c>
      <c r="AB38" s="16" t="s">
        <v>995</v>
      </c>
      <c r="AC38" s="16" t="s">
        <v>996</v>
      </c>
      <c r="AD38" s="15" t="s">
        <v>1072</v>
      </c>
      <c r="AE38" s="16" t="s">
        <v>965</v>
      </c>
      <c r="AF38" s="16" t="str">
        <f>CONCATENATE( C1,C38,CHAR(10), D1,D38,CHAR(10), E1,E38,CHAR(10), F1,F38,CHAR(10), G1,G38,CHAR(10), H1,H38,CHAR(10), I1,I38,CHAR(10), J1,J38,CHAR(10), K1,K38,CHAR(10), L1,L38,CHAR(10), M1,M38,CHAR(10), N1,N38,CHAR(10), O1,O38,CHAR(10), P1,P38,CHAR(10), Q1,Q38,CHAR(10), R1,R38,CHAR(10), S1,S38,CHAR(10), U1,U38,CHAR(10), V1,V38,CHAR(10), W1,W38,CHAR(10), X1,X38,CHAR(10), Y1,Y38,CHAR(10), Z1,Z38,CHAR(10), AA1,AA38,CHAR(10), AB1,AB38,CHAR(10), AC1,AC38,CHAR(10), AD1,AD38,CHAR(10), )</f>
        <v xml:space="preserve">Рабочее напряжение:220В – 240 В 50/60 Гц
Питание:
Тип цоколя лампы:
Источник(и) света:LED 108х3W multi
Тип лампы:
Мощность LED лампы:
Цветовая температура:
Угол раскрытия луча:15°- 45°
Угол панарамы:горизонт 540° вертикаль 270°
Ширина луча:
Гидромониторное расстояние:
Управление:DMX, Звуковая активация, авто режим (Master / Slave)
Каналов DMX:9/16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Габариты:435х330х230 мм
Вес(kg):11кг
Особенности:Влагозащита: IP20, electronic Zoom
</v>
      </c>
      <c r="AG38" s="23">
        <v>34900</v>
      </c>
      <c r="AH38" s="72" t="s">
        <v>1827</v>
      </c>
      <c r="AI38" s="72" t="str">
        <f t="shared" si="0"/>
        <v>MCF LED Wash 324 WRGBW Zoom Интеллектуальная голова</v>
      </c>
      <c r="AJ38" s="72" t="str">
        <f t="shared" si="1"/>
        <v>MCF LED Wash 324 WRGBW Zoom Интеллектуальная голова</v>
      </c>
      <c r="AK38" s="72" t="s">
        <v>1840</v>
      </c>
      <c r="AM38" s="72" t="s">
        <v>1837</v>
      </c>
      <c r="AN38" s="72" t="s">
        <v>1841</v>
      </c>
      <c r="AO38" s="72" t="s">
        <v>1842</v>
      </c>
      <c r="AP38" s="72" t="s">
        <v>1843</v>
      </c>
      <c r="AQ38" s="72" t="s">
        <v>1844</v>
      </c>
      <c r="AR38" s="72" t="s">
        <v>1837</v>
      </c>
    </row>
    <row r="39" spans="1:44" s="15" customFormat="1" ht="59.25" customHeight="1" x14ac:dyDescent="0.25">
      <c r="A39" s="48">
        <v>38</v>
      </c>
      <c r="B39" s="12" t="s">
        <v>1075</v>
      </c>
      <c r="C39" s="16" t="s">
        <v>835</v>
      </c>
      <c r="F39" s="16" t="s">
        <v>993</v>
      </c>
      <c r="J39" s="16" t="s">
        <v>992</v>
      </c>
      <c r="K39" s="16" t="s">
        <v>935</v>
      </c>
      <c r="N39" s="16" t="s">
        <v>978</v>
      </c>
      <c r="O39" s="86" t="s">
        <v>1076</v>
      </c>
      <c r="P39" s="16" t="s">
        <v>843</v>
      </c>
      <c r="T39" s="16" t="s">
        <v>991</v>
      </c>
      <c r="W39" s="16" t="s">
        <v>984</v>
      </c>
      <c r="AB39" s="16" t="s">
        <v>995</v>
      </c>
      <c r="AD39" s="16" t="s">
        <v>981</v>
      </c>
      <c r="AE39" s="16" t="s">
        <v>965</v>
      </c>
      <c r="AF39" s="16" t="str">
        <f>CONCATENATE( C1,C39,CHAR(10), D1,D39,CHAR(10), E1,E39,CHAR(10), F1,F39,CHAR(10), G1,G39,CHAR(10), H1,H39,CHAR(10), I1,I39,CHAR(10), J1,J39,CHAR(10), K1,K39,CHAR(10), L1,L39,CHAR(10), M1,M39,CHAR(10), N1,N39,CHAR(10), O1,O39,CHAR(10), P1,P39,CHAR(10), Q1,Q39,CHAR(10), R1,R39,CHAR(10), S1,S39,CHAR(10), U1,U39,CHAR(10), V1,V39,CHAR(10), W1,W39,CHAR(10), X1,X39,CHAR(10), Y1,Y39,CHAR(10), Z1,Z39,CHAR(10), AA1,AA39,CHAR(10), AB1,AB39,CHAR(10), AC1,AC39,CHAR(10), AD1,AD39,CHAR(10), )</f>
        <v xml:space="preserve">Рабочее напряжение:220В – 240 В 50/60 Гц
Питание:
Тип цоколя лампы:
Источник(и) света:LED 108х3W multi
Тип лампы:
Мощность LED лампы:
Цветовая температура:
Угол раскрытия луча:45°
Угол панарамы:горизонт 540° вертикаль 270°
Ширина луча:
Гидромониторное расстояние:
Управление:DMX, Звуковая активация, авто режим ( Master / Slave )
Каналов DMX:9/16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Габариты:435х330х230 мм
Вес(kg):
Особенности:Влагозащита: IP20
</v>
      </c>
      <c r="AG39" s="23">
        <v>29900</v>
      </c>
      <c r="AH39" s="72" t="s">
        <v>1827</v>
      </c>
      <c r="AI39" s="72" t="str">
        <f t="shared" si="0"/>
        <v>MCF LED Wash 324 WRGBW Интеллектуальная голова</v>
      </c>
      <c r="AJ39" s="72" t="str">
        <f t="shared" si="1"/>
        <v>MCF LED Wash 324 WRGBW Интеллектуальная голова</v>
      </c>
      <c r="AK39" s="72" t="s">
        <v>1840</v>
      </c>
      <c r="AM39" s="72" t="s">
        <v>1837</v>
      </c>
      <c r="AN39" s="72" t="s">
        <v>1841</v>
      </c>
      <c r="AO39" s="72" t="s">
        <v>1842</v>
      </c>
      <c r="AP39" s="72" t="s">
        <v>1843</v>
      </c>
      <c r="AQ39" s="72" t="s">
        <v>1844</v>
      </c>
      <c r="AR39" s="72" t="s">
        <v>1837</v>
      </c>
    </row>
    <row r="40" spans="1:44" s="15" customFormat="1" ht="59.25" customHeight="1" x14ac:dyDescent="0.25">
      <c r="A40" s="48">
        <v>39</v>
      </c>
      <c r="B40" s="12" t="s">
        <v>1077</v>
      </c>
      <c r="C40" s="16" t="s">
        <v>835</v>
      </c>
      <c r="F40" s="16" t="s">
        <v>997</v>
      </c>
      <c r="J40" s="16" t="s">
        <v>988</v>
      </c>
      <c r="K40" s="16" t="s">
        <v>935</v>
      </c>
      <c r="N40" s="16" t="s">
        <v>868</v>
      </c>
      <c r="O40" s="16" t="s">
        <v>998</v>
      </c>
      <c r="P40" s="16" t="s">
        <v>843</v>
      </c>
      <c r="T40" s="16" t="s">
        <v>991</v>
      </c>
      <c r="W40" s="16" t="s">
        <v>984</v>
      </c>
      <c r="AB40" s="16" t="s">
        <v>999</v>
      </c>
      <c r="AC40" s="16">
        <v>10</v>
      </c>
      <c r="AD40" s="15" t="s">
        <v>1072</v>
      </c>
      <c r="AE40" s="16" t="s">
        <v>891</v>
      </c>
      <c r="AF40" s="16" t="str">
        <f>CONCATENATE( C1,C40,CHAR(10), D1,D40,CHAR(10), E1,E40,CHAR(10), F1,F40,CHAR(10), G1,G40,CHAR(10), H1,H40,CHAR(10), I1,I40,CHAR(10), J1,J40,CHAR(10), K1,K40,CHAR(10), L1,L40,CHAR(10), M1,M40,CHAR(10), N1,N40,CHAR(10), O1,O40,CHAR(10), P1,P40,CHAR(10), Q1,Q40,CHAR(10), R1,R40,CHAR(10), S1,S40,CHAR(10), U1,U40,CHAR(10), V1,V40,CHAR(10), W1,W40,CHAR(10), X1,X40,CHAR(10), Y1,Y40,CHAR(10), Z1,Z40,CHAR(10), AA1,AA40,CHAR(10), AB1,AB40,CHAR(10), AC1,AC40,CHAR(10), AD1,AD40,CHAR(10), )</f>
        <v xml:space="preserve">Рабочее напряжение:220В – 240 В 50/60 Гц
Питание:
Тип цоколя лампы:
Источник(и) света:LED 19х12W multi
Тип лампы:
Мощность LED лампы:
Цветовая температура:
Угол раскрытия луча:10°- 50°
Угол панарамы:горизонт 540° вертикаль 270°
Ширина луча:
Гидромониторное расстояние:
Управление:DMX, Звуковая активация, авто режим (Master / Slave)
Каналов DMX:14/22 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Габариты:440х390х310 мм
Вес(kg):10
Особенности:Влагозащита: IP20, electronic Zoom
</v>
      </c>
      <c r="AG40" s="23">
        <v>49900</v>
      </c>
      <c r="AH40" s="72" t="s">
        <v>1827</v>
      </c>
      <c r="AI40" s="72" t="str">
        <f t="shared" si="0"/>
        <v>MCF LED Wash 228 W RGBW Zoom Интеллектуальная голова</v>
      </c>
      <c r="AJ40" s="72" t="str">
        <f t="shared" si="1"/>
        <v>MCF LED Wash 228 W RGBW Zoom Интеллектуальная голова</v>
      </c>
      <c r="AK40" s="72" t="s">
        <v>1840</v>
      </c>
      <c r="AM40" s="72" t="s">
        <v>1837</v>
      </c>
      <c r="AN40" s="72" t="s">
        <v>1841</v>
      </c>
      <c r="AO40" s="72" t="s">
        <v>1842</v>
      </c>
      <c r="AP40" s="72" t="s">
        <v>1843</v>
      </c>
      <c r="AQ40" s="72" t="s">
        <v>1844</v>
      </c>
      <c r="AR40" s="72" t="s">
        <v>1837</v>
      </c>
    </row>
    <row r="41" spans="1:44" s="15" customFormat="1" ht="59.25" customHeight="1" x14ac:dyDescent="0.25">
      <c r="A41" s="48">
        <v>40</v>
      </c>
      <c r="B41" s="12" t="s">
        <v>1078</v>
      </c>
      <c r="C41" s="16" t="s">
        <v>835</v>
      </c>
      <c r="F41" s="16" t="s">
        <v>1000</v>
      </c>
      <c r="J41" s="16" t="s">
        <v>1001</v>
      </c>
      <c r="K41" s="16" t="s">
        <v>1002</v>
      </c>
      <c r="N41" s="16" t="s">
        <v>868</v>
      </c>
      <c r="O41" s="86" t="s">
        <v>1079</v>
      </c>
      <c r="P41" s="16" t="s">
        <v>843</v>
      </c>
      <c r="T41" s="16" t="s">
        <v>991</v>
      </c>
      <c r="W41" s="16" t="s">
        <v>984</v>
      </c>
      <c r="AB41" s="16" t="s">
        <v>1003</v>
      </c>
      <c r="AC41" s="16">
        <v>8.5</v>
      </c>
      <c r="AD41" s="16" t="s">
        <v>981</v>
      </c>
      <c r="AE41" s="16" t="s">
        <v>209</v>
      </c>
      <c r="AF41" s="16" t="str">
        <f>CONCATENATE( C1,C41,CHAR(10), D1,D41,CHAR(10), E1,E41,CHAR(10), F1,F41,CHAR(10), G1,G41,CHAR(10), H1,H41,CHAR(10), I1,I41,CHAR(10), J1,J41,CHAR(10), K1,K41,CHAR(10), L1,L41,CHAR(10), M1,M41,CHAR(10), N1,N41,CHAR(10), O1,O41,CHAR(10), P1,P41,CHAR(10), Q1,Q41,CHAR(10), R1,R41,CHAR(10), S1,S41,CHAR(10), U1,U41,CHAR(10), V1,V41,CHAR(10), W1,W41,CHAR(10), X1,X41,CHAR(10), Y1,Y41,CHAR(10), Z1,Z41,CHAR(10), AA1,AA41,CHAR(10), AB1,AB41,CHAR(10), AC1,AC41,CHAR(10), AD1,AD41,CHAR(10), )</f>
        <v xml:space="preserve">Рабочее напряжение:220В – 240 В 50/60 Гц
Питание:
Тип цоколя лампы:
Источник(и) света:LED 6х12W multi
Тип лампы:
Мощность LED лампы:
Цветовая температура:
Угол раскрытия луча:15-35°
Угол панарамы:горизонт 540° вертикаль 190°
Ширина луча:
Гидромониторное расстояние:
Управление:DMX, Звуковая активация, авто режим (Master / Slave)
Каналов DMX:12/15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Габариты:440х360х320 мм
Вес(kg):8.5
Особенности:Влагозащита: IP20
</v>
      </c>
      <c r="AG41" s="23">
        <v>19900</v>
      </c>
      <c r="AH41" s="72" t="s">
        <v>1827</v>
      </c>
      <c r="AI41" s="72" t="str">
        <f t="shared" si="0"/>
        <v>MCF LED Wash 72 WRGBW Интеллектуальная голова</v>
      </c>
      <c r="AJ41" s="72" t="str">
        <f t="shared" si="1"/>
        <v>MCF LED Wash 72 WRGBW Интеллектуальная голова</v>
      </c>
      <c r="AK41" s="72" t="s">
        <v>1840</v>
      </c>
      <c r="AM41" s="72" t="s">
        <v>1837</v>
      </c>
      <c r="AN41" s="72" t="s">
        <v>1841</v>
      </c>
      <c r="AO41" s="72" t="s">
        <v>1842</v>
      </c>
      <c r="AP41" s="72" t="s">
        <v>1843</v>
      </c>
      <c r="AQ41" s="72" t="s">
        <v>1844</v>
      </c>
      <c r="AR41" s="72" t="s">
        <v>1837</v>
      </c>
    </row>
    <row r="42" spans="1:44" s="15" customFormat="1" ht="59.25" customHeight="1" x14ac:dyDescent="0.25">
      <c r="A42" s="48">
        <v>41</v>
      </c>
      <c r="B42" s="12" t="s">
        <v>1080</v>
      </c>
      <c r="C42" s="16" t="s">
        <v>835</v>
      </c>
      <c r="F42" s="16" t="s">
        <v>1005</v>
      </c>
      <c r="J42" s="16" t="s">
        <v>1006</v>
      </c>
      <c r="K42" s="16" t="s">
        <v>1002</v>
      </c>
      <c r="N42" s="16" t="s">
        <v>1081</v>
      </c>
      <c r="O42" s="16" t="s">
        <v>1007</v>
      </c>
      <c r="P42" s="16" t="s">
        <v>843</v>
      </c>
      <c r="T42" s="16" t="s">
        <v>991</v>
      </c>
      <c r="W42" s="16" t="s">
        <v>984</v>
      </c>
      <c r="AB42" s="16" t="s">
        <v>1008</v>
      </c>
      <c r="AC42" s="16">
        <v>15</v>
      </c>
      <c r="AD42" s="16" t="s">
        <v>1072</v>
      </c>
      <c r="AE42" s="16" t="s">
        <v>1004</v>
      </c>
      <c r="AF42" s="16" t="str">
        <f>CONCATENATE( C1,C42,CHAR(10), D1,D42,CHAR(10), E1,E42,CHAR(10), F1,F42,CHAR(10), G1,G42,CHAR(10), H1,H42,CHAR(10), I1,I42,CHAR(10), J1,J42,CHAR(10), K1,K42,CHAR(10), L1,L42,CHAR(10), M1,M42,CHAR(10), N1,N42,CHAR(10), O1,O42,CHAR(10), P1,P42,CHAR(10), Q1,Q42,CHAR(10), R1,R42,CHAR(10), S1,S42,CHAR(10), U1,U42,CHAR(10), V1,V42,CHAR(10), W1,W42,CHAR(10), X1,X42,CHAR(10), Y1,Y42,CHAR(10), Z1,Z42,CHAR(10), AA1,AA42,CHAR(10), AB1,AB42,CHAR(10), AC1,AC42,CHAR(10), AD1,AD42,CHAR(10), )</f>
        <v xml:space="preserve">Рабочее напряжение:220В – 240 В 50/60 Гц
Питание:
Тип цоколя лампы:
Источник(и) света:LED 19pcs х 15W multi
Тип лампы:
Мощность LED лампы:
Цветовая температура:
Угол раскрытия луча:15-45°
Угол панарамы:горизонт 540° вертикаль 190°
Ширина луча:
Гидромониторное расстояние:
Управление:DMX, Звуковая активация, авто режим (Master / Slave), Независимы контроль отдельно каждого светодиода
Каналов DMX:21/35/78/92/97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Габариты:250х360х495 мм
Вес(kg):15
Особенности:Влагозащита: IP20, electronic Zoom
</v>
      </c>
      <c r="AG42" s="23">
        <v>69900</v>
      </c>
      <c r="AH42" s="72" t="s">
        <v>1827</v>
      </c>
      <c r="AI42" s="72" t="str">
        <f t="shared" si="0"/>
        <v>MCF LED Wash 285W multi Zoom Интеллектуальная голова</v>
      </c>
      <c r="AJ42" s="72" t="str">
        <f t="shared" si="1"/>
        <v>MCF LED Wash 285W multi Zoom Интеллектуальная голова</v>
      </c>
      <c r="AK42" s="72" t="s">
        <v>1840</v>
      </c>
      <c r="AM42" s="72" t="s">
        <v>1837</v>
      </c>
      <c r="AN42" s="72" t="s">
        <v>1841</v>
      </c>
      <c r="AO42" s="72" t="s">
        <v>1842</v>
      </c>
      <c r="AP42" s="72" t="s">
        <v>1843</v>
      </c>
      <c r="AQ42" s="72" t="s">
        <v>1844</v>
      </c>
      <c r="AR42" s="72" t="s">
        <v>1837</v>
      </c>
    </row>
    <row r="43" spans="1:44" s="15" customFormat="1" ht="59.25" customHeight="1" x14ac:dyDescent="0.25">
      <c r="A43" s="48">
        <v>42</v>
      </c>
      <c r="B43" s="12" t="s">
        <v>1082</v>
      </c>
      <c r="C43" s="16" t="s">
        <v>835</v>
      </c>
      <c r="F43" s="16" t="s">
        <v>1009</v>
      </c>
      <c r="J43" s="16" t="s">
        <v>992</v>
      </c>
      <c r="K43" s="16" t="s">
        <v>935</v>
      </c>
      <c r="N43" s="16" t="s">
        <v>868</v>
      </c>
      <c r="O43" s="86" t="s">
        <v>1083</v>
      </c>
      <c r="P43" s="16" t="s">
        <v>843</v>
      </c>
      <c r="T43" s="16" t="s">
        <v>991</v>
      </c>
      <c r="W43" s="16" t="s">
        <v>984</v>
      </c>
      <c r="AB43" s="16" t="s">
        <v>985</v>
      </c>
      <c r="AC43" s="16">
        <v>11</v>
      </c>
      <c r="AD43" s="16" t="s">
        <v>981</v>
      </c>
      <c r="AE43" s="16" t="s">
        <v>880</v>
      </c>
      <c r="AF43" s="16" t="str">
        <f>CONCATENATE( C1,C43,CHAR(10), D1,D43,CHAR(10), E1,E43,CHAR(10), F1,F43,CHAR(10), G1,G43,CHAR(10), H1,H43,CHAR(10), I1,I43,CHAR(10), J1,J43,CHAR(10), K1,K43,CHAR(10), L1,L43,CHAR(10), M1,M43,CHAR(10), N1,N43,CHAR(10), O1,O43,CHAR(10), P1,P43,CHAR(10), Q1,Q43,CHAR(10), R1,R43,CHAR(10), S1,S43,CHAR(10), U1,U43,CHAR(10), V1,V43,CHAR(10), W1,W43,CHAR(10), X1,X43,CHAR(10), Y1,Y43,CHAR(10), Z1,Z43,CHAR(10), AA1,AA43,CHAR(10), AB1,AB43,CHAR(10), AC1,AC43,CHAR(10), AD1,AD43,CHAR(10), )</f>
        <v xml:space="preserve">Рабочее напряжение:220В – 240 В 50/60 Гц
Питание:
Тип цоколя лампы:
Источник(и) света:LED 36х8W multi 
Тип лампы:
Мощность LED лампы:
Цветовая температура:
Угол раскрытия луча:45°
Угол панарамы:горизонт 540° вертикаль 270°
Ширина луча:
Гидромониторное расстояние:
Управление:DMX, Звуковая активация, авто режим (Master / Slave)
Каналов DMX:17/10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
Особенности:Влагозащита: IP20
</v>
      </c>
      <c r="AG43" s="23">
        <v>39900</v>
      </c>
      <c r="AH43" s="72" t="s">
        <v>1827</v>
      </c>
      <c r="AI43" s="72" t="str">
        <f t="shared" si="0"/>
        <v>MCF LED Wash 288W multi RGBW Интеллектуальная голова</v>
      </c>
      <c r="AJ43" s="72" t="str">
        <f t="shared" si="1"/>
        <v>MCF LED Wash 288W multi RGBW Интеллектуальная голова</v>
      </c>
      <c r="AK43" s="72" t="s">
        <v>1840</v>
      </c>
      <c r="AM43" s="72" t="s">
        <v>1837</v>
      </c>
      <c r="AN43" s="72" t="s">
        <v>1841</v>
      </c>
      <c r="AO43" s="72" t="s">
        <v>1842</v>
      </c>
      <c r="AP43" s="72" t="s">
        <v>1843</v>
      </c>
      <c r="AQ43" s="72" t="s">
        <v>1844</v>
      </c>
      <c r="AR43" s="72" t="s">
        <v>1837</v>
      </c>
    </row>
    <row r="44" spans="1:44" s="15" customFormat="1" ht="59.25" customHeight="1" x14ac:dyDescent="0.25">
      <c r="A44" s="48">
        <v>43</v>
      </c>
      <c r="B44" s="12" t="s">
        <v>1084</v>
      </c>
      <c r="C44" s="16" t="s">
        <v>835</v>
      </c>
      <c r="F44" s="16" t="s">
        <v>1009</v>
      </c>
      <c r="J44" s="16" t="s">
        <v>1010</v>
      </c>
      <c r="K44" s="16" t="s">
        <v>935</v>
      </c>
      <c r="N44" s="16" t="s">
        <v>868</v>
      </c>
      <c r="O44" s="86" t="s">
        <v>1083</v>
      </c>
      <c r="P44" s="16" t="s">
        <v>843</v>
      </c>
      <c r="T44" s="16" t="s">
        <v>991</v>
      </c>
      <c r="W44" s="16" t="s">
        <v>984</v>
      </c>
      <c r="AB44" s="16" t="s">
        <v>985</v>
      </c>
      <c r="AC44" s="16" t="s">
        <v>996</v>
      </c>
      <c r="AD44" s="15" t="s">
        <v>1072</v>
      </c>
      <c r="AE44" s="16" t="s">
        <v>880</v>
      </c>
      <c r="AF44" s="16" t="str">
        <f>CONCATENATE( C1,C44,CHAR(10), D1,D44,CHAR(10), E1,E44,CHAR(10), F1,F44,CHAR(10), G1,G44,CHAR(10), H1,H44,CHAR(10), I1,I44,CHAR(10), J1,J44,CHAR(10), K1,K44,CHAR(10), L1,L44,CHAR(10), M1,M44,CHAR(10), N1,N44,CHAR(10), O1,O44,CHAR(10), P1,P44,CHAR(10), Q1,Q44,CHAR(10), R1,R44,CHAR(10), S1,S44,CHAR(10), U1,U44,CHAR(10), V1,V44,CHAR(10), W1,W44,CHAR(10), X1,X44,CHAR(10), Y1,Y44,CHAR(10), Z1,Z44,CHAR(10), AA1,AA44,CHAR(10), AB1,AB44,CHAR(10), AC1,AC44,CHAR(10), AD1,AD44,CHAR(10), )</f>
        <v xml:space="preserve">Рабочее напряжение:220В – 240 В 50/60 Гц
Питание:
Тип цоколя лампы:
Источник(и) света:LED 36х8W multi 
Тип лампы:
Мощность LED лампы:
Цветовая температура:
Угол раскрытия луча:15-50°
Угол панарамы:горизонт 540° вертикаль 270°
Ширина луча:
Гидромониторное расстояние:
Управление:DMX, Звуковая активация, авто режим (Master / Slave)
Каналов DMX:17/10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Вес(kg):11кг
Особенности:Влагозащита: IP20, electronic Zoom
</v>
      </c>
      <c r="AG44" s="23">
        <v>49900</v>
      </c>
      <c r="AH44" s="72" t="s">
        <v>1827</v>
      </c>
      <c r="AI44" s="72" t="str">
        <f t="shared" si="0"/>
        <v>MCF LED Wash 288W multi RGBW Zoom Интеллектуальная голова</v>
      </c>
      <c r="AJ44" s="72" t="str">
        <f t="shared" si="1"/>
        <v>MCF LED Wash 288W multi RGBW Zoom Интеллектуальная голова</v>
      </c>
      <c r="AK44" s="72" t="s">
        <v>1840</v>
      </c>
      <c r="AM44" s="72" t="s">
        <v>1837</v>
      </c>
      <c r="AN44" s="72" t="s">
        <v>1841</v>
      </c>
      <c r="AO44" s="72" t="s">
        <v>1842</v>
      </c>
      <c r="AP44" s="72" t="s">
        <v>1843</v>
      </c>
      <c r="AQ44" s="72" t="s">
        <v>1844</v>
      </c>
      <c r="AR44" s="72" t="s">
        <v>1837</v>
      </c>
    </row>
    <row r="45" spans="1:44" s="15" customFormat="1" ht="59.25" customHeight="1" x14ac:dyDescent="0.25">
      <c r="A45" s="48">
        <v>44</v>
      </c>
      <c r="B45" s="12" t="s">
        <v>1085</v>
      </c>
      <c r="C45" s="16" t="s">
        <v>835</v>
      </c>
      <c r="F45" s="16" t="s">
        <v>1009</v>
      </c>
      <c r="J45" s="16" t="s">
        <v>1011</v>
      </c>
      <c r="K45" s="16" t="s">
        <v>935</v>
      </c>
      <c r="N45" s="16" t="s">
        <v>868</v>
      </c>
      <c r="O45" s="86" t="s">
        <v>1083</v>
      </c>
      <c r="P45" s="16" t="s">
        <v>843</v>
      </c>
      <c r="T45" s="16" t="s">
        <v>991</v>
      </c>
      <c r="W45" s="16" t="s">
        <v>984</v>
      </c>
      <c r="AB45" s="16" t="s">
        <v>985</v>
      </c>
      <c r="AC45" s="16">
        <v>11</v>
      </c>
      <c r="AD45" s="16" t="s">
        <v>1086</v>
      </c>
      <c r="AE45" s="16" t="s">
        <v>880</v>
      </c>
      <c r="AF45" s="16" t="str">
        <f>CONCATENATE( C1,C45,CHAR(10), D1,D45,CHAR(10), E1,E45,CHAR(10), F1,F45,CHAR(10), G1,G45,CHAR(10), H1,H45,CHAR(10), I1,I45,CHAR(10), J1,J45,CHAR(10), K1,K45,CHAR(10), L1,L45,CHAR(10), M1,M45,CHAR(10), N1,N45,CHAR(10), O1,O45,CHAR(10), P1,P45,CHAR(10), Q1,Q45,CHAR(10), R1,R45,CHAR(10), S1,S45,CHAR(10), U1,U45,CHAR(10), V1,V45,CHAR(10), W1,W45,CHAR(10), X1,X45,CHAR(10), Y1,Y45,CHAR(10), Z1,Z45,CHAR(10), AA1,AA45,CHAR(10), AB1,AB45,CHAR(10), AC1,AC45,CHAR(10), AD1,AD45,CHAR(10), )</f>
        <v xml:space="preserve">Рабочее напряжение:220В – 240 В 50/60 Гц
Питание:
Тип цоколя лампы:
Источник(и) света:LED 36х8W multi 
Тип лампы:
Мощность LED лампы:
Цветовая температура:
Угол раскрытия луча:50°
Угол панарамы:горизонт 540° вертикаль 270°
Ширина луча:
Гидромониторное расстояние:
Управление:DMX, Звуковая активация, авто режим (Master / Slave)
Каналов DMX:17/10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
Особенности:Влагозащита: IP20, ultraviolet
</v>
      </c>
      <c r="AG45" s="23">
        <v>44900</v>
      </c>
      <c r="AH45" s="72" t="s">
        <v>1827</v>
      </c>
      <c r="AI45" s="72" t="str">
        <f t="shared" si="0"/>
        <v>MCF LED Wash 288W multi RGBW ultraviolet Интеллектуальная голова</v>
      </c>
      <c r="AJ45" s="72" t="str">
        <f t="shared" si="1"/>
        <v>MCF LED Wash 288W multi RGBW ultraviolet Интеллектуальная голова</v>
      </c>
      <c r="AK45" s="72" t="s">
        <v>1840</v>
      </c>
      <c r="AM45" s="72" t="s">
        <v>1837</v>
      </c>
      <c r="AN45" s="72" t="s">
        <v>1841</v>
      </c>
      <c r="AO45" s="72" t="s">
        <v>1842</v>
      </c>
      <c r="AP45" s="72" t="s">
        <v>1843</v>
      </c>
      <c r="AQ45" s="72" t="s">
        <v>1844</v>
      </c>
      <c r="AR45" s="72" t="s">
        <v>1837</v>
      </c>
    </row>
    <row r="46" spans="1:44" s="15" customFormat="1" ht="408.95" customHeight="1" x14ac:dyDescent="0.25">
      <c r="A46" s="48">
        <v>45</v>
      </c>
      <c r="B46" s="12" t="s">
        <v>1087</v>
      </c>
      <c r="C46" s="16" t="s">
        <v>835</v>
      </c>
      <c r="F46" s="16" t="s">
        <v>1009</v>
      </c>
      <c r="J46" s="16" t="s">
        <v>1012</v>
      </c>
      <c r="K46" s="16" t="s">
        <v>935</v>
      </c>
      <c r="N46" s="16" t="s">
        <v>868</v>
      </c>
      <c r="O46" s="86" t="s">
        <v>1083</v>
      </c>
      <c r="P46" s="16" t="s">
        <v>843</v>
      </c>
      <c r="T46" s="16" t="s">
        <v>991</v>
      </c>
      <c r="W46" s="16" t="s">
        <v>984</v>
      </c>
      <c r="AB46" s="16" t="s">
        <v>985</v>
      </c>
      <c r="AC46" s="16">
        <v>11</v>
      </c>
      <c r="AD46" s="15" t="s">
        <v>1088</v>
      </c>
      <c r="AE46" s="16" t="s">
        <v>880</v>
      </c>
      <c r="AF46" s="16" t="str">
        <f>CONCATENATE( C1,C46,CHAR(10), D1,D46,CHAR(10), E1,E46,CHAR(10), F1,F46,CHAR(10), G1,G46,CHAR(10), H1,H46,CHAR(10), I1,I46,CHAR(10), J1,J46,CHAR(10), K1,K46,CHAR(10), L1,L46,CHAR(10), M1,M46,CHAR(10), N1,N46,CHAR(10), O1,O46,CHAR(10), P1,P46,CHAR(10), Q1,Q46,CHAR(10), R1,R46,CHAR(10), S1,S46,CHAR(10), U1,U46,CHAR(10), V1,V46,CHAR(10), W1,W46,CHAR(10), X1,X46,CHAR(10), Y1,Y46,CHAR(10), Z1,Z46,CHAR(10), AA1,AA46,CHAR(10), AB1,AB46,CHAR(10), AC1,AC46,CHAR(10), AD1,AD46,CHAR(10), )</f>
        <v xml:space="preserve">Рабочее напряжение:220В – 240 В 50/60 Гц
Питание:
Тип цоколя лампы:
Источник(и) света:LED 36х8W multi 
Тип лампы:
Мощность LED лампы:
Цветовая температура:
Угол раскрытия луча:15-60°
Угол панарамы:горизонт 540° вертикаль 270°
Ширина луча:
Гидромониторное расстояние:
Управление:DMX, Звуковая активация, авто режим (Master / Slave)
Каналов DMX:17/10
Диммер:0-100%
Gobo:
Электронная диафрагма:
Цветовой диск с 8 цветами:
Световой поток:
Световой КПД:
Строб:1 - 20 вспышек в секунду
Светодиод:
Рабочая температура:
Фокусировка:
CRI (Ra&gt;):
Габариты:460х335х385 мм
Вес(kg):11
Особенности:Влагозащита: IP20, electronic Zoom, ultraviolet
</v>
      </c>
      <c r="AG46" s="15" t="s">
        <v>1850</v>
      </c>
      <c r="AH46" s="72" t="s">
        <v>1827</v>
      </c>
      <c r="AI46" s="72" t="str">
        <f t="shared" si="0"/>
        <v>MCF LED Wash 288W multi RGBW ultraviolet Zoom Интеллектуальная голова</v>
      </c>
      <c r="AJ46" s="72" t="str">
        <f t="shared" si="1"/>
        <v>MCF LED Wash 288W multi RGBW ultraviolet Zoom Интеллектуальная голова</v>
      </c>
      <c r="AK46" s="72" t="s">
        <v>1840</v>
      </c>
      <c r="AM46" s="72" t="s">
        <v>1837</v>
      </c>
      <c r="AN46" s="72" t="s">
        <v>1841</v>
      </c>
      <c r="AO46" s="72" t="s">
        <v>1842</v>
      </c>
      <c r="AP46" s="72" t="s">
        <v>1843</v>
      </c>
      <c r="AQ46" s="72" t="s">
        <v>1844</v>
      </c>
      <c r="AR46" s="72" t="s">
        <v>1837</v>
      </c>
    </row>
    <row r="47" spans="1:44" ht="59.25" customHeight="1" x14ac:dyDescent="0.25">
      <c r="B47" s="87"/>
    </row>
    <row r="49" spans="2:2" ht="59.25" customHeight="1" x14ac:dyDescent="0.25">
      <c r="B49" s="87"/>
    </row>
  </sheetData>
  <pageMargins left="0.7" right="0.7" top="0.75" bottom="0.75" header="0.3" footer="0.3"/>
  <pageSetup paperSize="9" orientation="portrait" r:id="rId1"/>
  <ignoredErrors>
    <ignoredError sqref="O35 O38:O39 O41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U66"/>
  <sheetViews>
    <sheetView zoomScale="85" zoomScaleNormal="85" workbookViewId="0">
      <pane ySplit="1" topLeftCell="A2" activePane="bottomLeft" state="frozen"/>
      <selection pane="bottomLeft" activeCell="AE2" sqref="AE2"/>
    </sheetView>
  </sheetViews>
  <sheetFormatPr defaultRowHeight="50.25" customHeight="1" x14ac:dyDescent="0.25"/>
  <cols>
    <col min="1" max="1" width="9.140625" style="88"/>
    <col min="2" max="2" width="16" style="135" customWidth="1"/>
    <col min="3" max="3" width="16" style="135" hidden="1" customWidth="1"/>
    <col min="4" max="4" width="25" style="107" hidden="1" customWidth="1"/>
    <col min="5" max="5" width="20.42578125" style="107" hidden="1" customWidth="1"/>
    <col min="6" max="6" width="20.42578125" style="88" hidden="1" customWidth="1"/>
    <col min="7" max="7" width="17.140625" style="112" hidden="1" customWidth="1"/>
    <col min="8" max="8" width="12.85546875" style="112" hidden="1" customWidth="1"/>
    <col min="9" max="9" width="17" style="112" hidden="1" customWidth="1"/>
    <col min="10" max="10" width="15.5703125" style="112" hidden="1" customWidth="1"/>
    <col min="11" max="11" width="18" style="112" hidden="1" customWidth="1"/>
    <col min="12" max="12" width="16.42578125" style="112" hidden="1" customWidth="1"/>
    <col min="13" max="21" width="16.42578125" style="88" hidden="1" customWidth="1"/>
    <col min="22" max="22" width="17" style="88" hidden="1" customWidth="1"/>
    <col min="23" max="30" width="0" style="88" hidden="1" customWidth="1"/>
    <col min="31" max="31" width="63.140625" style="88" customWidth="1"/>
    <col min="32" max="32" width="9.140625" style="88"/>
    <col min="33" max="33" width="11" style="112" customWidth="1"/>
    <col min="34" max="34" width="11.85546875" style="112" customWidth="1"/>
    <col min="35" max="36" width="12.140625" style="98" customWidth="1"/>
    <col min="37" max="37" width="9.140625" style="88"/>
    <col min="38" max="38" width="61.42578125" style="88" bestFit="1" customWidth="1"/>
    <col min="39" max="39" width="61.85546875" style="88" bestFit="1" customWidth="1"/>
    <col min="40" max="16384" width="9.140625" style="88"/>
  </cols>
  <sheetData>
    <row r="1" spans="1:47" s="100" customFormat="1" ht="50.25" customHeight="1" x14ac:dyDescent="0.25">
      <c r="A1" s="100" t="s">
        <v>636</v>
      </c>
      <c r="B1" s="132" t="s">
        <v>1795</v>
      </c>
      <c r="C1" s="132" t="s">
        <v>0</v>
      </c>
      <c r="D1" s="103" t="s">
        <v>1089</v>
      </c>
      <c r="E1" s="103" t="s">
        <v>1091</v>
      </c>
      <c r="F1" s="101" t="s">
        <v>1151</v>
      </c>
      <c r="G1" s="101" t="s">
        <v>419</v>
      </c>
      <c r="H1" s="102" t="s">
        <v>1116</v>
      </c>
      <c r="I1" s="102" t="s">
        <v>1118</v>
      </c>
      <c r="J1" s="101" t="s">
        <v>491</v>
      </c>
      <c r="K1" s="101" t="s">
        <v>1093</v>
      </c>
      <c r="L1" s="101" t="s">
        <v>405</v>
      </c>
      <c r="M1" s="101" t="s">
        <v>1125</v>
      </c>
      <c r="N1" s="101" t="s">
        <v>1130</v>
      </c>
      <c r="O1" s="101" t="s">
        <v>1123</v>
      </c>
      <c r="P1" s="101" t="s">
        <v>1124</v>
      </c>
      <c r="Q1" s="101" t="s">
        <v>1136</v>
      </c>
      <c r="R1" s="101" t="s">
        <v>1247</v>
      </c>
      <c r="S1" s="101" t="s">
        <v>531</v>
      </c>
      <c r="T1" s="102" t="s">
        <v>529</v>
      </c>
      <c r="U1" s="102" t="s">
        <v>1367</v>
      </c>
      <c r="V1" s="101" t="s">
        <v>1095</v>
      </c>
      <c r="W1" s="101" t="s">
        <v>1097</v>
      </c>
      <c r="X1" s="101" t="s">
        <v>1171</v>
      </c>
      <c r="Y1" s="102" t="s">
        <v>1115</v>
      </c>
      <c r="Z1" s="101" t="s">
        <v>1099</v>
      </c>
      <c r="AA1" s="101" t="s">
        <v>117</v>
      </c>
      <c r="AB1" s="101" t="s">
        <v>1101</v>
      </c>
      <c r="AC1" s="101" t="s">
        <v>1350</v>
      </c>
      <c r="AD1" s="101" t="s">
        <v>1258</v>
      </c>
      <c r="AE1" s="101" t="s">
        <v>1651</v>
      </c>
      <c r="AF1" s="101"/>
      <c r="AG1" s="101" t="s">
        <v>1296</v>
      </c>
      <c r="AH1" s="101" t="s">
        <v>1297</v>
      </c>
      <c r="AI1" s="115" t="s">
        <v>1365</v>
      </c>
      <c r="AJ1" s="115" t="s">
        <v>1366</v>
      </c>
      <c r="AK1" s="74" t="s">
        <v>1826</v>
      </c>
      <c r="AL1" s="74" t="s">
        <v>1828</v>
      </c>
      <c r="AM1" s="74" t="s">
        <v>1829</v>
      </c>
      <c r="AN1" s="74" t="s">
        <v>1830</v>
      </c>
      <c r="AO1" s="74" t="s">
        <v>1831</v>
      </c>
      <c r="AP1" s="74" t="s">
        <v>1832</v>
      </c>
      <c r="AQ1" s="74" t="s">
        <v>1833</v>
      </c>
      <c r="AR1" s="74" t="s">
        <v>1834</v>
      </c>
      <c r="AS1" s="74" t="s">
        <v>1835</v>
      </c>
      <c r="AT1" s="74" t="s">
        <v>1836</v>
      </c>
      <c r="AU1" s="74" t="s">
        <v>1845</v>
      </c>
    </row>
    <row r="2" spans="1:47" ht="409.5" customHeight="1" x14ac:dyDescent="0.25">
      <c r="A2" s="88">
        <v>1</v>
      </c>
      <c r="B2" s="133" t="s">
        <v>1305</v>
      </c>
      <c r="C2" s="133"/>
      <c r="D2" s="105" t="s">
        <v>1090</v>
      </c>
      <c r="E2" s="105" t="s">
        <v>1092</v>
      </c>
      <c r="F2" s="90"/>
      <c r="G2" s="90" t="s">
        <v>1874</v>
      </c>
      <c r="H2" s="90"/>
      <c r="I2" s="90"/>
      <c r="J2" s="90"/>
      <c r="K2" s="90" t="s">
        <v>1094</v>
      </c>
      <c r="L2" s="90" t="s">
        <v>10</v>
      </c>
      <c r="M2" s="90"/>
      <c r="N2" s="90"/>
      <c r="O2" s="90"/>
      <c r="P2" s="90"/>
      <c r="Q2" s="90"/>
      <c r="R2" s="90"/>
      <c r="S2" s="90"/>
      <c r="T2" s="90"/>
      <c r="U2" s="90"/>
      <c r="V2" s="90" t="s">
        <v>1096</v>
      </c>
      <c r="W2" s="90" t="s">
        <v>1098</v>
      </c>
      <c r="X2" s="90"/>
      <c r="Y2" s="90"/>
      <c r="Z2" s="90" t="s">
        <v>1100</v>
      </c>
      <c r="AA2" s="90" t="s">
        <v>1875</v>
      </c>
      <c r="AB2" s="90" t="s">
        <v>1102</v>
      </c>
      <c r="AC2" s="90"/>
      <c r="AD2" s="90"/>
      <c r="AE2" s="90" t="str">
        <f>CONCATENATE( C1,C2,CHAR(10), D1,D2,CHAR(10), E1,E2,CHAR(10), F1,F2,CHAR(10), G1,G2,CHAR(10), H1,H2,CHAR(10), I1,I2,CHAR(10), J1,J2,CHAR(10), K1,K2,CHAR(10), L1,L2,CHAR(10), M1,M2,CHAR(10), N1,N2,CHAR(10), O1,O2,CHAR(10), P1,P2,CHAR(10), Q1,Q2,CHAR(10), R1,R2,CHAR(10), S1,S2,CHAR(10), U1,U2,CHAR(10), V1,V2,CHAR(10), W1,W2,CHAR(10), X1,X2,CHAR(10), Y1,Y2,CHAR(10), Z1,Z2,CHAR(10), AA1,AA2,CHAR(10), AB1,AB2,CHAR(10), AC1,AC2,CHAR(10), AD1,AD2,CHAR(10), )</f>
        <v xml:space="preserve">Модель
Тип: Двухполосная универсальная акустическая система
Мощность: 50 Вт (длительная)100 Вт (пиковая)
Потребляемая мощность
Диапазон частот: 90 Гц - 18ц
Частотный диапазон (-6дБ):
Частотный диапазон (-10дБ):
Воспроизводимая частота:
Чувствительность: 84 дБ
Сопротивление: 8 Ом
Драйвер В.Ч.:
Коннектор: 
Номинальная мощность: 
Максимальная мощность: 
Мощность усилителя:
Программная выходная мощность (PROGRAM):
Максимальное звуковое давление:
тип динамиков
ВЧ динамик: 0,5" ламинированный титаном, магнитоэкранированный
НЧ динамик:4,5" магнитоэкранированный
Динамик СЧ:
Угол раскрытия:
Размер: 140х145х225 мм
Вес: 1,4
Корпус: высокопрочный полипропилен
положение установки
Угол подвеска:
</v>
      </c>
      <c r="AF2" s="90"/>
      <c r="AG2" s="89" t="s">
        <v>1916</v>
      </c>
      <c r="AH2" s="89" t="s">
        <v>1917</v>
      </c>
      <c r="AK2" s="72" t="s">
        <v>1827</v>
      </c>
      <c r="AL2" s="72" t="str">
        <f>CONCATENATE(B2," ",D2,)</f>
        <v>MCF F-4J (PL) Двухполосная универсальная акустическая система</v>
      </c>
      <c r="AM2" s="72" t="str">
        <f>AL2</f>
        <v>MCF F-4J (PL) Двухполосная универсальная акустическая система</v>
      </c>
      <c r="AN2" s="72" t="s">
        <v>1840</v>
      </c>
      <c r="AO2" s="72"/>
      <c r="AP2" s="72" t="s">
        <v>1837</v>
      </c>
      <c r="AQ2" s="72" t="s">
        <v>1841</v>
      </c>
      <c r="AR2" s="72" t="s">
        <v>1842</v>
      </c>
      <c r="AS2" s="72" t="s">
        <v>1843</v>
      </c>
      <c r="AT2" s="72" t="s">
        <v>1844</v>
      </c>
      <c r="AU2" s="72" t="s">
        <v>1837</v>
      </c>
    </row>
    <row r="3" spans="1:47" ht="50.25" customHeight="1" x14ac:dyDescent="0.25">
      <c r="A3" s="88">
        <v>2</v>
      </c>
      <c r="B3" s="133" t="s">
        <v>1306</v>
      </c>
      <c r="C3" s="133"/>
      <c r="D3" s="105" t="s">
        <v>1090</v>
      </c>
      <c r="E3" s="105" t="s">
        <v>1103</v>
      </c>
      <c r="F3" s="90"/>
      <c r="G3" s="90" t="s">
        <v>1876</v>
      </c>
      <c r="H3" s="90"/>
      <c r="I3" s="90"/>
      <c r="J3" s="90"/>
      <c r="K3" s="90" t="s">
        <v>1104</v>
      </c>
      <c r="L3" s="90" t="s">
        <v>10</v>
      </c>
      <c r="M3" s="90"/>
      <c r="N3" s="90"/>
      <c r="O3" s="90"/>
      <c r="P3" s="90"/>
      <c r="Q3" s="90"/>
      <c r="R3" s="90"/>
      <c r="S3" s="90"/>
      <c r="T3" s="90"/>
      <c r="U3" s="90"/>
      <c r="V3" s="90" t="s">
        <v>1105</v>
      </c>
      <c r="W3" s="90" t="s">
        <v>1106</v>
      </c>
      <c r="X3" s="90"/>
      <c r="Y3" s="90"/>
      <c r="Z3" s="90" t="s">
        <v>1107</v>
      </c>
      <c r="AA3" s="90" t="s">
        <v>1877</v>
      </c>
      <c r="AB3" s="90" t="s">
        <v>1102</v>
      </c>
      <c r="AC3" s="90"/>
      <c r="AD3" s="90"/>
      <c r="AE3" s="90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S1,S3,CHAR(10), U1,U3,CHAR(10), V1,V3,CHAR(10), W1,W3,CHAR(10), X1,X3,CHAR(10), Y1,Y3,CHAR(10), Z1,Z3,CHAR(10), AA1,AA3,CHAR(10), AB1,AB3,CHAR(10), AC1,AC3,CHAR(10), AD1,AD3,CHAR(10), )</f>
        <v xml:space="preserve">Модель
Тип: Двухполосная универсальная акустическая система
Мощность: 70 Вт (длительная)140 Вт (пиковая)
Потребляемая мощность
Диапазон частот: 70 Гц - 18ц
Частотный диапазон (-6дБ):
Частотный диапазон (-10дБ):
Воспроизводимая частота:
Чувствительность: 86 дБ
Сопротивление: 8 Ом
Драйвер В.Ч.:
Коннектор: 
Номинальная мощность: 
Максимальная мощность: 
Мощность усилителя:
Программная выходная мощность (PROGRAM):
Максимальное звуковое давление:
тип динамиков
ВЧ динамик: 0,5", ламинированный титаном, магнитоэкранированный
НЧ динамик:5,25" магнитоэкранированный
Динамик СЧ:
Угол раскрытия:
Размер: 170х165х265 мм
Вес: 1,8
Корпус: высокопрочный полипропилен
положение установки
Угол подвеска:
</v>
      </c>
      <c r="AF3" s="90"/>
      <c r="AG3" s="146">
        <v>5900</v>
      </c>
      <c r="AH3" s="146">
        <v>9900</v>
      </c>
      <c r="AK3" s="72" t="s">
        <v>1827</v>
      </c>
      <c r="AL3" s="72" t="str">
        <f t="shared" ref="AL3:AL66" si="0">CONCATENATE(B3," ",D3,)</f>
        <v>MCF F-5J (PL) Двухполосная универсальная акустическая система</v>
      </c>
      <c r="AM3" s="72" t="str">
        <f t="shared" ref="AM3:AM66" si="1">AL3</f>
        <v>MCF F-5J (PL) Двухполосная универсальная акустическая система</v>
      </c>
      <c r="AN3" s="72" t="s">
        <v>1840</v>
      </c>
      <c r="AO3" s="15"/>
      <c r="AP3" s="72" t="s">
        <v>1837</v>
      </c>
      <c r="AQ3" s="72" t="s">
        <v>1841</v>
      </c>
      <c r="AR3" s="72" t="s">
        <v>1842</v>
      </c>
      <c r="AS3" s="72" t="s">
        <v>1843</v>
      </c>
      <c r="AT3" s="72" t="s">
        <v>1844</v>
      </c>
      <c r="AU3" s="72" t="s">
        <v>1837</v>
      </c>
    </row>
    <row r="4" spans="1:47" ht="50.25" customHeight="1" x14ac:dyDescent="0.25">
      <c r="A4" s="88">
        <v>3</v>
      </c>
      <c r="B4" s="133" t="s">
        <v>1307</v>
      </c>
      <c r="C4" s="133"/>
      <c r="D4" s="105" t="s">
        <v>1090</v>
      </c>
      <c r="E4" s="105" t="s">
        <v>1108</v>
      </c>
      <c r="F4" s="90"/>
      <c r="G4" s="90" t="s">
        <v>1878</v>
      </c>
      <c r="H4" s="90"/>
      <c r="I4" s="90"/>
      <c r="J4" s="90"/>
      <c r="K4" s="90" t="s">
        <v>1109</v>
      </c>
      <c r="L4" s="90" t="s">
        <v>10</v>
      </c>
      <c r="M4" s="90"/>
      <c r="N4" s="90"/>
      <c r="O4" s="90"/>
      <c r="P4" s="90"/>
      <c r="Q4" s="90"/>
      <c r="R4" s="90"/>
      <c r="S4" s="90"/>
      <c r="T4" s="90"/>
      <c r="U4" s="90"/>
      <c r="V4" s="90" t="s">
        <v>1110</v>
      </c>
      <c r="W4" s="90" t="s">
        <v>1111</v>
      </c>
      <c r="X4" s="90"/>
      <c r="Y4" s="90"/>
      <c r="Z4" s="90" t="s">
        <v>1112</v>
      </c>
      <c r="AA4" s="90" t="s">
        <v>1879</v>
      </c>
      <c r="AB4" s="90" t="s">
        <v>1102</v>
      </c>
      <c r="AC4" s="90"/>
      <c r="AD4" s="90"/>
      <c r="AE4" s="90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S1,S4,CHAR(10), U1,U4,CHAR(10), V1,V4,CHAR(10), W1,W4,CHAR(10), X1,X4,CHAR(10), Y1,Y4,CHAR(10), Z1,Z4,CHAR(10), AA1,AA4,CHAR(10), AB1,AB4,CHAR(10), AC1,AC4,CHAR(10), AD1,AD4,CHAR(10), )</f>
        <v xml:space="preserve">Модель
Тип: Двухполосная универсальная акустическая система
Мощность: 90 Вт (длительная)180 Вт (пиковая)
Потребляемая мощность
Диапазон частот: 65 Гц - 20ц
Частотный диапазон (-6дБ):
Частотный диапазон (-10дБ):
Воспроизводимая частота:
Чувствительность: 88 дБ
Сопротивление: 8 Ом
Драйвер В.Ч.:
Коннектор: 
Номинальная мощность: 
Максимальная мощность: 
Мощность усилителя:
Программная выходная мощность (PROGRAM):
Максимальное звуковое давление:
тип динамиков
ВЧ динамик: 1,0", ламинированный титаном, магнитоэкранированный
НЧ динамик:6,5" магнитоэкранированный
Динамик СЧ:
Угол раскрытия:
Размер: 208х197х328 мм
Вес: 2,4
Корпус: высокопрочный полипропилен
положение установки
Угол подвеска:
</v>
      </c>
      <c r="AF4" s="90"/>
      <c r="AG4" s="146">
        <v>6900</v>
      </c>
      <c r="AH4" s="146">
        <v>12900</v>
      </c>
      <c r="AK4" s="72" t="s">
        <v>1827</v>
      </c>
      <c r="AL4" s="72" t="str">
        <f t="shared" si="0"/>
        <v>MCF F-6J (PL) Двухполосная универсальная акустическая система</v>
      </c>
      <c r="AM4" s="72" t="str">
        <f t="shared" si="1"/>
        <v>MCF F-6J (PL) Двухполосная универсальная акустическая система</v>
      </c>
      <c r="AN4" s="72" t="s">
        <v>1840</v>
      </c>
      <c r="AO4" s="15"/>
      <c r="AP4" s="72" t="s">
        <v>1837</v>
      </c>
      <c r="AQ4" s="72" t="s">
        <v>1841</v>
      </c>
      <c r="AR4" s="72" t="s">
        <v>1842</v>
      </c>
      <c r="AS4" s="72" t="s">
        <v>1843</v>
      </c>
      <c r="AT4" s="72" t="s">
        <v>1844</v>
      </c>
      <c r="AU4" s="72" t="s">
        <v>1837</v>
      </c>
    </row>
    <row r="5" spans="1:47" ht="50.25" customHeight="1" x14ac:dyDescent="0.25">
      <c r="A5" s="88">
        <v>4</v>
      </c>
      <c r="B5" s="133" t="s">
        <v>1308</v>
      </c>
      <c r="C5" s="133"/>
      <c r="D5" s="94" t="s">
        <v>1122</v>
      </c>
      <c r="E5" s="106" t="s">
        <v>1113</v>
      </c>
      <c r="F5" s="93"/>
      <c r="H5" s="93" t="s">
        <v>1117</v>
      </c>
      <c r="I5" s="93" t="s">
        <v>1119</v>
      </c>
      <c r="J5" s="93"/>
      <c r="L5" s="90" t="s">
        <v>10</v>
      </c>
      <c r="M5" s="90"/>
      <c r="N5" s="90"/>
      <c r="O5" s="90"/>
      <c r="P5" s="90"/>
      <c r="Q5" s="90"/>
      <c r="R5" s="90"/>
      <c r="S5" s="90" t="s">
        <v>1120</v>
      </c>
      <c r="T5" s="93" t="s">
        <v>1114</v>
      </c>
      <c r="U5" s="93"/>
      <c r="Y5" s="88" t="s">
        <v>1298</v>
      </c>
      <c r="Z5" s="90" t="s">
        <v>1121</v>
      </c>
      <c r="AA5" s="90" t="s">
        <v>1880</v>
      </c>
      <c r="AE5" s="88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S1,S5,CHAR(10), U1,U5,CHAR(10), V1,V5,CHAR(10), W1,W5,CHAR(10), X1,X5,CHAR(10), Y1,Y5,CHAR(10), Z1,Z5,CHAR(10), AA1,AA5,CHAR(10), AB1,AB5,CHAR(10), AC1,AC5,CHAR(10), AD1,AD5,CHAR(10), )</f>
        <v xml:space="preserve">Модель
Тип: Акустическая система
Мощность: 60 Вт постоянная,120 Вт пиковая
Потребляемая мощность
Диапазон частот: 
Частотный диапазон (-6дБ):60 Гц – 18кГц
Частотный диапазон (-10дБ):60 Гц – 20кГц
Воспроизводимая частота:
Чувствительность: 
Сопротивление: 8 Ом
Драйвер В.Ч.:
Коннектор: 
Номинальная мощность: 
Максимальная мощность: 
Мощность усилителя:
Программная выходная мощность (PROGRAM):
Максимальное звуковое давление:125 дБ
тип динамиков
ВЧ динамик: 
НЧ динамик:
Динамик СЧ:
Угол раскрытия:70x15
Размер: 505 х 105 х 135 мм
Вес: 2,9
Корпус: 
положение установки
Угол подвеска:
</v>
      </c>
      <c r="AG5" s="89" t="s">
        <v>1918</v>
      </c>
      <c r="AH5" s="89" t="s">
        <v>1919</v>
      </c>
      <c r="AK5" s="72" t="s">
        <v>1827</v>
      </c>
      <c r="AL5" s="72" t="str">
        <f t="shared" si="0"/>
        <v>MCF F-306 Акустическая система</v>
      </c>
      <c r="AM5" s="72" t="str">
        <f t="shared" si="1"/>
        <v>MCF F-306 Акустическая система</v>
      </c>
      <c r="AN5" s="72" t="s">
        <v>1840</v>
      </c>
      <c r="AO5" s="15"/>
      <c r="AP5" s="72" t="s">
        <v>1837</v>
      </c>
      <c r="AQ5" s="72" t="s">
        <v>1841</v>
      </c>
      <c r="AR5" s="72" t="s">
        <v>1842</v>
      </c>
      <c r="AS5" s="72" t="s">
        <v>1843</v>
      </c>
      <c r="AT5" s="72" t="s">
        <v>1844</v>
      </c>
      <c r="AU5" s="72" t="s">
        <v>1837</v>
      </c>
    </row>
    <row r="6" spans="1:47" ht="50.25" customHeight="1" x14ac:dyDescent="0.25">
      <c r="A6" s="88">
        <v>5</v>
      </c>
      <c r="B6" s="133" t="s">
        <v>1300</v>
      </c>
      <c r="C6" s="133"/>
      <c r="D6" s="94" t="s">
        <v>1122</v>
      </c>
      <c r="H6" s="89"/>
      <c r="I6" s="89"/>
      <c r="J6" s="90" t="s">
        <v>1881</v>
      </c>
      <c r="K6" s="90" t="s">
        <v>1128</v>
      </c>
      <c r="L6" s="90" t="s">
        <v>10</v>
      </c>
      <c r="M6" s="90" t="s">
        <v>1126</v>
      </c>
      <c r="N6" s="90" t="s">
        <v>1131</v>
      </c>
      <c r="O6" s="90" t="s">
        <v>209</v>
      </c>
      <c r="P6" s="90" t="s">
        <v>307</v>
      </c>
      <c r="Q6" s="90"/>
      <c r="R6" s="90"/>
      <c r="S6" s="90" t="s">
        <v>1129</v>
      </c>
      <c r="W6" s="90" t="s">
        <v>1127</v>
      </c>
      <c r="X6" s="90"/>
      <c r="Z6" s="90" t="s">
        <v>1132</v>
      </c>
      <c r="AA6" s="90" t="s">
        <v>1882</v>
      </c>
      <c r="AB6" s="2" t="s">
        <v>1133</v>
      </c>
      <c r="AC6" s="2"/>
      <c r="AD6" s="2"/>
      <c r="AE6" s="2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S1,S6,CHAR(10), U1,U6,CHAR(10), V1,V6,CHAR(10), W1,W6,CHAR(10), X1,X6,CHAR(10), Y1,Y6,CHAR(10), Z1,Z6,CHAR(10), AA1,AA6,CHAR(10), AB1,AB6,CHAR(10), AC1,AC6,CHAR(10), AD1,AD6,CHAR(10),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частота:80 Гц - 18ц (± 3 дБ)
Чувствительность: 97 дБ (1 Вт / 1 м)
Сопротивление: 8 Ом
Драйвер В.Ч.:1.0”
Коннектор: 2xСпикон
Номинальная мощность: 100 Вт
Максимальная мощность: 200 Вт
Мощность усилителя:
Программная выходная мощность (PROGRAM):
Максимальное звуковое давление:111 дБ
тип динамиков
ВЧ динамик: 
НЧ динамик:8”
Динамик СЧ:
Угол раскрытия:
Размер: 248x440x280 мм
Вес: 8,5
Корпус: Корпус FT
положение установки
Угол подвеска:
</v>
      </c>
      <c r="AF6" s="2"/>
      <c r="AG6" s="146">
        <v>14900</v>
      </c>
      <c r="AH6" s="146">
        <v>24900</v>
      </c>
      <c r="AK6" s="72" t="s">
        <v>1827</v>
      </c>
      <c r="AL6" s="72" t="str">
        <f t="shared" si="0"/>
        <v>MCF F-801J (100W) Акустическая система</v>
      </c>
      <c r="AM6" s="72" t="str">
        <f t="shared" si="1"/>
        <v>MCF F-801J (100W) Акустическая система</v>
      </c>
      <c r="AN6" s="72" t="s">
        <v>1840</v>
      </c>
      <c r="AO6" s="15"/>
      <c r="AP6" s="72" t="s">
        <v>1837</v>
      </c>
      <c r="AQ6" s="72" t="s">
        <v>1841</v>
      </c>
      <c r="AR6" s="72" t="s">
        <v>1842</v>
      </c>
      <c r="AS6" s="72" t="s">
        <v>1843</v>
      </c>
      <c r="AT6" s="72" t="s">
        <v>1844</v>
      </c>
      <c r="AU6" s="72" t="s">
        <v>1837</v>
      </c>
    </row>
    <row r="7" spans="1:47" ht="50.25" customHeight="1" x14ac:dyDescent="0.25">
      <c r="A7" s="88">
        <v>6</v>
      </c>
      <c r="B7" s="133" t="s">
        <v>1301</v>
      </c>
      <c r="C7" s="133"/>
      <c r="D7" s="94" t="s">
        <v>1122</v>
      </c>
      <c r="H7" s="89"/>
      <c r="I7" s="89"/>
      <c r="J7" s="90" t="s">
        <v>1881</v>
      </c>
      <c r="K7" s="90" t="s">
        <v>1128</v>
      </c>
      <c r="L7" s="90" t="s">
        <v>10</v>
      </c>
      <c r="M7" s="90" t="s">
        <v>1134</v>
      </c>
      <c r="N7" s="90" t="s">
        <v>1131</v>
      </c>
      <c r="O7" s="90" t="s">
        <v>563</v>
      </c>
      <c r="P7" s="90" t="s">
        <v>588</v>
      </c>
      <c r="Q7" s="90"/>
      <c r="R7" s="90"/>
      <c r="S7" s="90" t="s">
        <v>1135</v>
      </c>
      <c r="W7" s="90" t="s">
        <v>1127</v>
      </c>
      <c r="X7" s="90"/>
      <c r="Z7" s="90" t="s">
        <v>1132</v>
      </c>
      <c r="AA7" s="90">
        <v>9</v>
      </c>
      <c r="AB7" s="71" t="s">
        <v>1133</v>
      </c>
      <c r="AC7" s="71"/>
      <c r="AD7" s="71"/>
      <c r="AE7" s="71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S1,S7,CHAR(10), U1,U7,CHAR(10), V1,V7,CHAR(10), W1,W7,CHAR(10), X1,X7,CHAR(10), Y1,Y7,CHAR(10), Z1,Z7,CHAR(10), AA1,AA7,CHAR(10), AB1,AB7,CHAR(10), AC1,AC7,CHAR(10), AD1,AD7,CHAR(10),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частота:80 Гц - 18ц (± 3 дБ)
Чувствительность: 97 дБ (1 Вт / 1 м)
Сопротивление: 8 Ом
Драйвер В.Ч.:1.35”
Коннектор: 2xСпикон
Номинальная мощность: 150 Вт
Максимальная мощность: 300 Вт
Мощность усилителя:
Программная выходная мощность (PROGRAM):
Максимальное звуковое давление:115 дБ
тип динамиков
ВЧ динамик: 
НЧ динамик:8”
Динамик СЧ:
Угол раскрытия:
Размер: 248x440x280 мм
Вес: 9
Корпус: Корпус FT
положение установки
Угол подвеска:
</v>
      </c>
      <c r="AF7" s="71"/>
      <c r="AG7" s="146">
        <v>16900</v>
      </c>
      <c r="AH7" s="146">
        <v>29900</v>
      </c>
      <c r="AK7" s="72" t="s">
        <v>1827</v>
      </c>
      <c r="AL7" s="72" t="str">
        <f t="shared" si="0"/>
        <v>MCF F-801J (150W) Акустическая система</v>
      </c>
      <c r="AM7" s="72" t="str">
        <f t="shared" si="1"/>
        <v>MCF F-801J (150W) Акустическая система</v>
      </c>
      <c r="AN7" s="72" t="s">
        <v>1840</v>
      </c>
      <c r="AO7" s="15"/>
      <c r="AP7" s="72" t="s">
        <v>1837</v>
      </c>
      <c r="AQ7" s="72" t="s">
        <v>1841</v>
      </c>
      <c r="AR7" s="72" t="s">
        <v>1842</v>
      </c>
      <c r="AS7" s="72" t="s">
        <v>1843</v>
      </c>
      <c r="AT7" s="72" t="s">
        <v>1844</v>
      </c>
      <c r="AU7" s="72" t="s">
        <v>1837</v>
      </c>
    </row>
    <row r="8" spans="1:47" ht="50.25" customHeight="1" x14ac:dyDescent="0.25">
      <c r="A8" s="88">
        <v>7</v>
      </c>
      <c r="B8" s="133" t="s">
        <v>1309</v>
      </c>
      <c r="C8" s="133"/>
      <c r="D8" s="94" t="s">
        <v>1302</v>
      </c>
      <c r="H8" s="89"/>
      <c r="I8" s="89"/>
      <c r="J8" s="90" t="s">
        <v>1881</v>
      </c>
      <c r="K8" s="90" t="s">
        <v>1128</v>
      </c>
      <c r="L8" s="90" t="s">
        <v>10</v>
      </c>
      <c r="M8" s="90" t="s">
        <v>1134</v>
      </c>
      <c r="N8" s="90" t="s">
        <v>1138</v>
      </c>
      <c r="O8" s="90" t="s">
        <v>307</v>
      </c>
      <c r="P8" s="90" t="s">
        <v>588</v>
      </c>
      <c r="Q8" s="90" t="s">
        <v>307</v>
      </c>
      <c r="R8" s="90"/>
      <c r="S8" s="90" t="s">
        <v>1137</v>
      </c>
      <c r="W8" s="90" t="s">
        <v>1127</v>
      </c>
      <c r="X8" s="90"/>
      <c r="Z8" s="90" t="s">
        <v>1139</v>
      </c>
      <c r="AA8" s="90">
        <v>10</v>
      </c>
      <c r="AB8" s="2" t="s">
        <v>1133</v>
      </c>
      <c r="AC8" s="2"/>
      <c r="AD8" s="2"/>
      <c r="AE8" s="2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S1,S8,CHAR(10), U1,U8,CHAR(10), V1,V8,CHAR(10), W1,W8,CHAR(10), X1,X8,CHAR(10), Y1,Y8,CHAR(10), Z1,Z8,CHAR(10), AA1,AA8,CHAR(10), AB1,AB8,CHAR(10), AC1,AC8,CHAR(10), AD1,AD8,CHAR(10), )</f>
        <v xml:space="preserve">Модель
Тип: Акустическая система активная
Мощность: 
Потребляемая мощность
Диапазон частот: 
Частотный диапазон (-6дБ):
Частотный диапазон (-10дБ):
Воспроизводимая частота:80 Гц - 18ц (± 3 дБ)
Чувствительность: 97 дБ (1 Вт / 1 м)
Сопротивление: 8 Ом
Драйвер В.Ч.:1.35”
Коннектор: XLR-f/m
Номинальная мощность: 200 Вт
Максимальная мощность: 300 Вт
Мощность усилителя:200 Вт
Программная выходная мощность (PROGRAM):
Максимальное звуковое давление:128 дБ
тип динамиков
ВЧ динамик: 
НЧ динамик:8”
Динамик СЧ:
Угол раскрытия:
Размер: 250x440x280 мм
Вес: 10
Корпус: Корпус FT
положение установки
Угол подвеска:
</v>
      </c>
      <c r="AF8" s="2"/>
      <c r="AG8" s="89" t="s">
        <v>1920</v>
      </c>
      <c r="AH8" s="89" t="s">
        <v>1921</v>
      </c>
      <c r="AK8" s="72" t="s">
        <v>1827</v>
      </c>
      <c r="AL8" s="72" t="str">
        <f t="shared" si="0"/>
        <v>MCF F-801J+ Акустическая система активная</v>
      </c>
      <c r="AM8" s="72" t="str">
        <f t="shared" si="1"/>
        <v>MCF F-801J+ Акустическая система активная</v>
      </c>
      <c r="AN8" s="72" t="s">
        <v>1840</v>
      </c>
      <c r="AO8" s="15"/>
      <c r="AP8" s="72" t="s">
        <v>1837</v>
      </c>
      <c r="AQ8" s="72" t="s">
        <v>1841</v>
      </c>
      <c r="AR8" s="72" t="s">
        <v>1842</v>
      </c>
      <c r="AS8" s="72" t="s">
        <v>1843</v>
      </c>
      <c r="AT8" s="72" t="s">
        <v>1844</v>
      </c>
      <c r="AU8" s="72" t="s">
        <v>1837</v>
      </c>
    </row>
    <row r="9" spans="1:47" ht="50.25" customHeight="1" x14ac:dyDescent="0.25">
      <c r="A9" s="88">
        <v>8</v>
      </c>
      <c r="B9" s="133" t="s">
        <v>1310</v>
      </c>
      <c r="C9" s="133"/>
      <c r="D9" s="94" t="s">
        <v>1122</v>
      </c>
      <c r="H9" s="89"/>
      <c r="I9" s="89"/>
      <c r="J9" s="90" t="s">
        <v>1883</v>
      </c>
      <c r="K9" s="90" t="s">
        <v>1142</v>
      </c>
      <c r="L9" s="90" t="s">
        <v>10</v>
      </c>
      <c r="M9" s="90" t="s">
        <v>1140</v>
      </c>
      <c r="N9" s="90" t="s">
        <v>1131</v>
      </c>
      <c r="O9" s="90" t="s">
        <v>880</v>
      </c>
      <c r="P9" s="90" t="s">
        <v>349</v>
      </c>
      <c r="S9" s="90" t="s">
        <v>1120</v>
      </c>
      <c r="W9" s="90" t="s">
        <v>1141</v>
      </c>
      <c r="X9" s="90"/>
      <c r="Z9" s="90" t="s">
        <v>1143</v>
      </c>
      <c r="AA9" s="90" t="s">
        <v>1884</v>
      </c>
      <c r="AB9" s="2" t="s">
        <v>1144</v>
      </c>
      <c r="AC9" s="2"/>
      <c r="AD9" s="2"/>
      <c r="AE9" s="2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S1,S9,CHAR(10), U1,U9,CHAR(10), V1,V9,CHAR(10), W1,W9,CHAR(10), X1,X9,CHAR(10), Y1,Y9,CHAR(10), Z1,Z9,CHAR(10), AA1,AA9,CHAR(10), AB1,AB9,CHAR(10), AC1,AC9,CHAR(10), AD1,AD9,CHAR(10),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В.Ч.:1.75”
Коннектор: 2xСпикон
Номинальная мощность: 400 Вт
Максимальная мощность: 800 Вт
Мощность усилителя:
Программная выходная мощность (PROGRAM):
Максимальное звуковое давление:125 дБ
тип динамиков
ВЧ динамик: 
НЧ динамик:12”
Динамик СЧ:
Угол раскрытия:
Размер: 363x603x388 мм
Вес: 16,5
Корпус: Корпус FT или X
положение установки
Угол подвеска:
</v>
      </c>
      <c r="AF9" s="2"/>
      <c r="AG9" s="89" t="s">
        <v>1920</v>
      </c>
      <c r="AH9" s="89" t="s">
        <v>1921</v>
      </c>
      <c r="AK9" s="72" t="s">
        <v>1827</v>
      </c>
      <c r="AL9" s="72" t="str">
        <f t="shared" si="0"/>
        <v>MCF F-1201L Акустическая система</v>
      </c>
      <c r="AM9" s="72" t="str">
        <f t="shared" si="1"/>
        <v>MCF F-1201L Акустическая система</v>
      </c>
      <c r="AN9" s="72" t="s">
        <v>1840</v>
      </c>
      <c r="AO9" s="15"/>
      <c r="AP9" s="72" t="s">
        <v>1837</v>
      </c>
      <c r="AQ9" s="72" t="s">
        <v>1841</v>
      </c>
      <c r="AR9" s="72" t="s">
        <v>1842</v>
      </c>
      <c r="AS9" s="72" t="s">
        <v>1843</v>
      </c>
      <c r="AT9" s="72" t="s">
        <v>1844</v>
      </c>
      <c r="AU9" s="72" t="s">
        <v>1837</v>
      </c>
    </row>
    <row r="10" spans="1:47" ht="50.25" customHeight="1" x14ac:dyDescent="0.25">
      <c r="A10" s="88">
        <v>9</v>
      </c>
      <c r="B10" s="133" t="s">
        <v>1311</v>
      </c>
      <c r="C10" s="133"/>
      <c r="D10" s="94" t="s">
        <v>1122</v>
      </c>
      <c r="H10" s="89"/>
      <c r="I10" s="89"/>
      <c r="J10" s="90" t="s">
        <v>1883</v>
      </c>
      <c r="K10" s="90" t="s">
        <v>1142</v>
      </c>
      <c r="L10" s="90" t="s">
        <v>10</v>
      </c>
      <c r="M10" s="90" t="s">
        <v>1134</v>
      </c>
      <c r="N10" s="90" t="s">
        <v>1131</v>
      </c>
      <c r="O10" s="90" t="s">
        <v>449</v>
      </c>
      <c r="P10" s="90" t="s">
        <v>1145</v>
      </c>
      <c r="S10" s="90" t="s">
        <v>1146</v>
      </c>
      <c r="W10" s="90" t="s">
        <v>1141</v>
      </c>
      <c r="X10" s="90"/>
      <c r="Z10" s="90" t="s">
        <v>1299</v>
      </c>
      <c r="AA10" s="90" t="s">
        <v>1147</v>
      </c>
      <c r="AB10" s="2" t="s">
        <v>1144</v>
      </c>
      <c r="AC10" s="2"/>
      <c r="AD10" s="2"/>
      <c r="AE10" s="2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S1,S10,CHAR(10), U1,U10,CHAR(10), V1,V10,CHAR(10), W1,W10,CHAR(10), X1,X10,CHAR(10), Y1,Y10,CHAR(10), Z1,Z10,CHAR(10), AA1,AA10,CHAR(10), AB1,AB10,CHAR(10), AC1,AC10,CHAR(10), AD1,AD10,CHAR(10),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В.Ч.:1.35”
Коннектор: 2xСпикон
Номинальная мощность: 600 Вт
Максимальная мощность: 1500 Вт
Мощность усилителя:
Программная выходная мощность (PROGRAM):
Максимальное звуковое давление:136 дБ
тип динамиков
ВЧ динамик: 
НЧ динамик:12”
Динамик СЧ:
Угол раскрытия:
Размер: FT365x600x390 ммX 360x400 мм
Вес: 16кг
Корпус: Корпус FT или X
положение установки
Угол подвеска:
</v>
      </c>
      <c r="AF10" s="2"/>
      <c r="AG10" s="89" t="s">
        <v>1922</v>
      </c>
      <c r="AH10" s="146">
        <v>59900</v>
      </c>
      <c r="AK10" s="72" t="s">
        <v>1827</v>
      </c>
      <c r="AL10" s="72" t="str">
        <f t="shared" si="0"/>
        <v>MCF N-1201L Акустическая система</v>
      </c>
      <c r="AM10" s="72" t="str">
        <f t="shared" si="1"/>
        <v>MCF N-1201L Акустическая система</v>
      </c>
      <c r="AN10" s="72" t="s">
        <v>1840</v>
      </c>
      <c r="AO10" s="15"/>
      <c r="AP10" s="72" t="s">
        <v>1837</v>
      </c>
      <c r="AQ10" s="72" t="s">
        <v>1841</v>
      </c>
      <c r="AR10" s="72" t="s">
        <v>1842</v>
      </c>
      <c r="AS10" s="72" t="s">
        <v>1843</v>
      </c>
      <c r="AT10" s="72" t="s">
        <v>1844</v>
      </c>
      <c r="AU10" s="72" t="s">
        <v>1837</v>
      </c>
    </row>
    <row r="11" spans="1:47" ht="50.25" customHeight="1" x14ac:dyDescent="0.25">
      <c r="A11" s="88">
        <v>10</v>
      </c>
      <c r="B11" s="133" t="s">
        <v>1312</v>
      </c>
      <c r="C11" s="133"/>
      <c r="D11" s="94" t="s">
        <v>1122</v>
      </c>
      <c r="H11" s="95"/>
      <c r="I11" s="95"/>
      <c r="J11" s="2" t="s">
        <v>1883</v>
      </c>
      <c r="K11" s="2" t="s">
        <v>1142</v>
      </c>
      <c r="L11" s="2" t="s">
        <v>10</v>
      </c>
      <c r="M11" s="2" t="s">
        <v>1134</v>
      </c>
      <c r="N11" s="2" t="s">
        <v>1131</v>
      </c>
      <c r="O11" s="2" t="s">
        <v>307</v>
      </c>
      <c r="P11" s="2" t="s">
        <v>880</v>
      </c>
      <c r="S11" s="2" t="s">
        <v>1148</v>
      </c>
      <c r="W11" s="2" t="s">
        <v>1141</v>
      </c>
      <c r="X11" s="2"/>
      <c r="Z11" s="2" t="s">
        <v>1149</v>
      </c>
      <c r="AA11" s="2" t="s">
        <v>1885</v>
      </c>
      <c r="AB11" s="2" t="s">
        <v>1144</v>
      </c>
      <c r="AC11" s="2"/>
      <c r="AD11" s="2"/>
      <c r="AE11" s="2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S1,S11,CHAR(10), U1,U11,CHAR(10), V1,V11,CHAR(10), W1,W11,CHAR(10), X1,X11,CHAR(10), Y1,Y11,CHAR(10), Z1,Z11,CHAR(10), AA1,AA11,CHAR(10), AB1,AB11,CHAR(10), AC1,AC11,CHAR(10), AD1,AD11,CHAR(10),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В.Ч.:1.35”
Коннектор: 2xСпикон
Номинальная мощность: 200 Вт
Максимальная мощность: 400 Вт
Мощность усилителя:
Программная выходная мощность (PROGRAM):
Максимальное звуковое давление:121 дБ
тип динамиков
ВЧ динамик: 
НЧ динамик:12”
Динамик СЧ:
Угол раскрытия:
Размер: 363x603x385 мм
Вес: 15,5
Корпус: Корпус FT или X
положение установки
Угол подвеска:
</v>
      </c>
      <c r="AF11" s="2"/>
      <c r="AG11" s="147">
        <v>22900</v>
      </c>
      <c r="AH11" s="147">
        <v>39900</v>
      </c>
      <c r="AK11" s="72" t="s">
        <v>1827</v>
      </c>
      <c r="AL11" s="72" t="str">
        <f t="shared" si="0"/>
        <v>MCF F-1201J Акустическая система</v>
      </c>
      <c r="AM11" s="72" t="str">
        <f t="shared" si="1"/>
        <v>MCF F-1201J Акустическая система</v>
      </c>
      <c r="AN11" s="72" t="s">
        <v>1840</v>
      </c>
      <c r="AO11" s="15"/>
      <c r="AP11" s="72" t="s">
        <v>1837</v>
      </c>
      <c r="AQ11" s="72" t="s">
        <v>1841</v>
      </c>
      <c r="AR11" s="72" t="s">
        <v>1842</v>
      </c>
      <c r="AS11" s="72" t="s">
        <v>1843</v>
      </c>
      <c r="AT11" s="72" t="s">
        <v>1844</v>
      </c>
      <c r="AU11" s="72" t="s">
        <v>1837</v>
      </c>
    </row>
    <row r="12" spans="1:47" ht="50.25" customHeight="1" x14ac:dyDescent="0.25">
      <c r="A12" s="88">
        <v>11</v>
      </c>
      <c r="B12" s="133" t="s">
        <v>1150</v>
      </c>
      <c r="C12" s="133"/>
      <c r="D12" s="94" t="s">
        <v>1302</v>
      </c>
      <c r="F12" s="2" t="s">
        <v>1152</v>
      </c>
      <c r="H12" s="89"/>
      <c r="I12" s="89"/>
      <c r="J12" s="2" t="s">
        <v>1886</v>
      </c>
      <c r="K12" s="2" t="s">
        <v>1142</v>
      </c>
      <c r="L12" s="2" t="s">
        <v>10</v>
      </c>
      <c r="M12" s="2" t="s">
        <v>1134</v>
      </c>
      <c r="N12" s="2" t="s">
        <v>1138</v>
      </c>
      <c r="O12" s="2" t="s">
        <v>307</v>
      </c>
      <c r="P12" s="2" t="s">
        <v>880</v>
      </c>
      <c r="Q12" s="2" t="s">
        <v>588</v>
      </c>
      <c r="R12" s="2"/>
      <c r="S12" s="2" t="s">
        <v>1153</v>
      </c>
      <c r="W12" s="2" t="s">
        <v>1141</v>
      </c>
      <c r="X12" s="2"/>
      <c r="Z12" s="2" t="s">
        <v>1154</v>
      </c>
      <c r="AA12" s="2">
        <v>23</v>
      </c>
      <c r="AB12" s="2" t="s">
        <v>1144</v>
      </c>
      <c r="AC12" s="2"/>
      <c r="AD12" s="2"/>
      <c r="AE12" s="2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S1,S12,CHAR(10), U1,U12,CHAR(10), V1,V12,CHAR(10), W1,W12,CHAR(10), X1,X12,CHAR(10), Y1,Y12,CHAR(10), Z1,Z12,CHAR(10), AA1,AA12,CHAR(10), AB1,AB12,CHAR(10), AC1,AC12,CHAR(10), AD1,AD12,CHAR(10), )</f>
        <v xml:space="preserve">Модель
Тип: Акустическая система активная
Мощность: 
Потребляемая мощностьдо 500 Вт
Диапазон частот: 
Частотный диапазон (-6дБ):
Частотный диапазон (-10дБ):
Воспроизводимая частота:55 Гц - 18ц (± 3 дБ)
Чувствительность: 98 дБ (1 Вт / 1 м)
Сопротивление: 8 Ом
Драйвер В.Ч.:1.35”
Коннектор: XLR-f/m
Номинальная мощность: 200 Вт
Максимальная мощность: 400 Вт
Мощность усилителя:300 Вт
Программная выходная мощность (PROGRAM):
Максимальное звуковое давление:119 дБ
тип динамиков
ВЧ динамик: 
НЧ динамик:12”
Динамик СЧ:
Угол раскрытия:
Размер: 373x603x385 мм
Вес: 23
Корпус: Корпус FT или X
положение установки
Угол подвеска:
</v>
      </c>
      <c r="AF12" s="2"/>
      <c r="AG12" s="89" t="s">
        <v>1923</v>
      </c>
      <c r="AH12" s="89" t="s">
        <v>1924</v>
      </c>
      <c r="AK12" s="72" t="s">
        <v>1827</v>
      </c>
      <c r="AL12" s="72" t="str">
        <f t="shared" si="0"/>
        <v>MCF F-1201J+ Акустическая система активная</v>
      </c>
      <c r="AM12" s="72" t="str">
        <f t="shared" si="1"/>
        <v>MCF F-1201J+ Акустическая система активная</v>
      </c>
      <c r="AN12" s="72" t="s">
        <v>1840</v>
      </c>
      <c r="AO12" s="15"/>
      <c r="AP12" s="72" t="s">
        <v>1837</v>
      </c>
      <c r="AQ12" s="72" t="s">
        <v>1841</v>
      </c>
      <c r="AR12" s="72" t="s">
        <v>1842</v>
      </c>
      <c r="AS12" s="72" t="s">
        <v>1843</v>
      </c>
      <c r="AT12" s="72" t="s">
        <v>1844</v>
      </c>
      <c r="AU12" s="72" t="s">
        <v>1837</v>
      </c>
    </row>
    <row r="13" spans="1:47" ht="50.25" customHeight="1" x14ac:dyDescent="0.25">
      <c r="A13" s="88">
        <v>12</v>
      </c>
      <c r="B13" s="133" t="s">
        <v>1155</v>
      </c>
      <c r="C13" s="133"/>
      <c r="D13" s="94" t="s">
        <v>1122</v>
      </c>
      <c r="F13" s="90"/>
      <c r="H13" s="89"/>
      <c r="I13" s="89"/>
      <c r="J13" s="90" t="s">
        <v>1883</v>
      </c>
      <c r="K13" s="90" t="s">
        <v>1142</v>
      </c>
      <c r="L13" s="90" t="s">
        <v>10</v>
      </c>
      <c r="M13" s="90" t="s">
        <v>1156</v>
      </c>
      <c r="N13" s="90" t="s">
        <v>1131</v>
      </c>
      <c r="O13" s="90" t="s">
        <v>303</v>
      </c>
      <c r="P13" s="90" t="s">
        <v>345</v>
      </c>
      <c r="S13" s="90" t="s">
        <v>1158</v>
      </c>
      <c r="W13" s="90" t="s">
        <v>1157</v>
      </c>
      <c r="X13" s="90"/>
      <c r="Z13" s="90" t="s">
        <v>1159</v>
      </c>
      <c r="AA13" s="90">
        <v>28</v>
      </c>
      <c r="AE13" s="88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S1,S13,CHAR(10), U1,U13,CHAR(10), V1,V13,CHAR(10), W1,W13,CHAR(10), X1,X13,CHAR(10), Y1,Y13,CHAR(10), Z1,Z13,CHAR(10), AA1,AA13,CHAR(10), AB1,AB13,CHAR(10), AC1,AC13,CHAR(10), AD1,AD13,CHAR(10),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В.Ч.:2.0”
Коннектор: 2xСпикон
Номинальная мощность: 500 Вт
Максимальная мощность: 1000 Вт
Мощность усилителя:
Программная выходная мощность (PROGRAM):
Максимальное звуковое давление:134 дБ
тип динамиков
ВЧ динамик: 
НЧ динамик:15”
Динамик СЧ:
Угол раскрытия:
Размер: 408x673x450 мм
Вес: 28
Корпус: 
положение установки
Угол подвеска:
</v>
      </c>
      <c r="AG13" s="89" t="s">
        <v>1848</v>
      </c>
      <c r="AH13" s="89" t="s">
        <v>1925</v>
      </c>
      <c r="AK13" s="72" t="s">
        <v>1827</v>
      </c>
      <c r="AL13" s="72" t="str">
        <f t="shared" si="0"/>
        <v>MCF F-1501L-22 Акустическая система</v>
      </c>
      <c r="AM13" s="72" t="str">
        <f t="shared" si="1"/>
        <v>MCF F-1501L-22 Акустическая система</v>
      </c>
      <c r="AN13" s="72" t="s">
        <v>1840</v>
      </c>
      <c r="AO13" s="15"/>
      <c r="AP13" s="72" t="s">
        <v>1837</v>
      </c>
      <c r="AQ13" s="72" t="s">
        <v>1841</v>
      </c>
      <c r="AR13" s="72" t="s">
        <v>1842</v>
      </c>
      <c r="AS13" s="72" t="s">
        <v>1843</v>
      </c>
      <c r="AT13" s="72" t="s">
        <v>1844</v>
      </c>
      <c r="AU13" s="72" t="s">
        <v>1837</v>
      </c>
    </row>
    <row r="14" spans="1:47" ht="50.25" customHeight="1" x14ac:dyDescent="0.25">
      <c r="A14" s="88">
        <v>13</v>
      </c>
      <c r="B14" s="133" t="s">
        <v>1313</v>
      </c>
      <c r="C14" s="133"/>
      <c r="D14" s="94" t="s">
        <v>1122</v>
      </c>
      <c r="F14" s="90"/>
      <c r="H14" s="89"/>
      <c r="I14" s="89"/>
      <c r="J14" s="90" t="s">
        <v>1883</v>
      </c>
      <c r="K14" s="90" t="s">
        <v>1142</v>
      </c>
      <c r="L14" s="90" t="s">
        <v>10</v>
      </c>
      <c r="M14" s="90" t="s">
        <v>1140</v>
      </c>
      <c r="N14" s="90" t="s">
        <v>1161</v>
      </c>
      <c r="O14" s="90" t="s">
        <v>449</v>
      </c>
      <c r="P14" s="90" t="s">
        <v>339</v>
      </c>
      <c r="S14" s="90" t="s">
        <v>1160</v>
      </c>
      <c r="W14" s="90" t="s">
        <v>1157</v>
      </c>
      <c r="X14" s="90"/>
      <c r="Z14" s="96" t="s">
        <v>1303</v>
      </c>
      <c r="AA14" s="90" t="s">
        <v>1887</v>
      </c>
      <c r="AE14" s="88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S1,S14,CHAR(10), U1,U14,CHAR(10), V1,V14,CHAR(10), W1,W14,CHAR(10), X1,X14,CHAR(10), Y1,Y14,CHAR(10), Z1,Z14,CHAR(10), AA1,AA14,CHAR(10), AB1,AB14,CHAR(10), AC1,AC14,CHAR(10), AD1,AD14,CHAR(10),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В.Ч.:1.75”
Коннектор: 2хСпикон
Номинальная мощность: 600 Вт
Максимальная мощность: 1200 Вт
Мощность усилителя:
Программная выходная мощность (PROGRAM):
Максимальное звуковое давление:132 дБ
тип динамиков
ВЧ динамик: 
НЧ динамик:15”
Динамик СЧ:
Угол раскрытия:
Размер: FT 425x700x450мм; X 460x690x440мм
Вес: FT 23,5
Корпус: 
положение установки
Угол подвеска:
</v>
      </c>
      <c r="AG14" s="89" t="s">
        <v>1923</v>
      </c>
      <c r="AH14" s="89" t="s">
        <v>1924</v>
      </c>
      <c r="AK14" s="72" t="s">
        <v>1827</v>
      </c>
      <c r="AL14" s="72" t="str">
        <f t="shared" si="0"/>
        <v>MCF F-1501L Акустическая система</v>
      </c>
      <c r="AM14" s="72" t="str">
        <f t="shared" si="1"/>
        <v>MCF F-1501L Акустическая система</v>
      </c>
      <c r="AN14" s="72" t="s">
        <v>1840</v>
      </c>
      <c r="AO14" s="15"/>
      <c r="AP14" s="72" t="s">
        <v>1837</v>
      </c>
      <c r="AQ14" s="72" t="s">
        <v>1841</v>
      </c>
      <c r="AR14" s="72" t="s">
        <v>1842</v>
      </c>
      <c r="AS14" s="72" t="s">
        <v>1843</v>
      </c>
      <c r="AT14" s="72" t="s">
        <v>1844</v>
      </c>
      <c r="AU14" s="72" t="s">
        <v>1837</v>
      </c>
    </row>
    <row r="15" spans="1:47" ht="50.25" customHeight="1" x14ac:dyDescent="0.25">
      <c r="A15" s="88">
        <v>14</v>
      </c>
      <c r="B15" s="133" t="s">
        <v>1314</v>
      </c>
      <c r="C15" s="133"/>
      <c r="D15" s="94" t="s">
        <v>1122</v>
      </c>
      <c r="F15" s="90"/>
      <c r="H15" s="89"/>
      <c r="I15" s="89"/>
      <c r="J15" s="90" t="s">
        <v>1888</v>
      </c>
      <c r="K15" s="90" t="s">
        <v>1142</v>
      </c>
      <c r="L15" s="90" t="s">
        <v>10</v>
      </c>
      <c r="M15" s="90" t="s">
        <v>1162</v>
      </c>
      <c r="N15" s="90" t="s">
        <v>1161</v>
      </c>
      <c r="O15" s="90" t="s">
        <v>1004</v>
      </c>
      <c r="P15" s="90" t="s">
        <v>339</v>
      </c>
      <c r="S15" s="90" t="s">
        <v>1164</v>
      </c>
      <c r="W15" s="90" t="s">
        <v>1163</v>
      </c>
      <c r="X15" s="90"/>
      <c r="Z15" s="96" t="s">
        <v>1304</v>
      </c>
      <c r="AA15" s="90" t="s">
        <v>1887</v>
      </c>
      <c r="AE15" s="88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S1,S15,CHAR(10), U1,U15,CHAR(10), V1,V15,CHAR(10), W1,W15,CHAR(10), X1,X15,CHAR(10), Y1,Y15,CHAR(10), Z1,Z15,CHAR(10), AA1,AA15,CHAR(10), AB1,AB15,CHAR(10), AC1,AC15,CHAR(10), AD1,AD15,CHAR(10),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частота:40 Гц - 20ц (± 3 дБ)
Чувствительность: 98 дБ (1 Вт / 1 м)
Сопротивление: 8 Ом
Драйвер В.Ч.:1.75” неодим
Коннектор: 2хСпикон
Номинальная мощность: 450 Вт
Максимальная мощность: 1200 Вт
Мощность усилителя:
Программная выходная мощность (PROGRAM):
Максимальное звуковое давление:138 дБ
тип динамиков
ВЧ динамик: 
НЧ динамик:15” неодим
Динамик СЧ:
Угол раскрытия:
Размер: Х 442x689x450 мм; FT 425x700x425
Вес: FT 23,5
Корпус: 
положение установки
Угол подвеска:
</v>
      </c>
      <c r="AG15" s="89" t="s">
        <v>1926</v>
      </c>
      <c r="AH15" s="89" t="s">
        <v>1927</v>
      </c>
      <c r="AK15" s="72" t="s">
        <v>1827</v>
      </c>
      <c r="AL15" s="72" t="str">
        <f t="shared" si="0"/>
        <v>MCF N-1501L Акустическая система</v>
      </c>
      <c r="AM15" s="72" t="str">
        <f t="shared" si="1"/>
        <v>MCF N-1501L Акустическая система</v>
      </c>
      <c r="AN15" s="72" t="s">
        <v>1840</v>
      </c>
      <c r="AO15" s="32"/>
      <c r="AP15" s="72" t="s">
        <v>1837</v>
      </c>
      <c r="AQ15" s="72" t="s">
        <v>1841</v>
      </c>
      <c r="AR15" s="72" t="s">
        <v>1842</v>
      </c>
      <c r="AS15" s="72" t="s">
        <v>1843</v>
      </c>
      <c r="AT15" s="72" t="s">
        <v>1844</v>
      </c>
      <c r="AU15" s="72" t="s">
        <v>1837</v>
      </c>
    </row>
    <row r="16" spans="1:47" ht="50.25" customHeight="1" x14ac:dyDescent="0.25">
      <c r="A16" s="88">
        <v>15</v>
      </c>
      <c r="B16" s="133" t="s">
        <v>1165</v>
      </c>
      <c r="C16" s="133"/>
      <c r="D16" s="94" t="s">
        <v>1302</v>
      </c>
      <c r="E16" s="88"/>
      <c r="F16" s="97"/>
      <c r="H16" s="89"/>
      <c r="I16" s="89"/>
      <c r="J16" s="105" t="s">
        <v>1883</v>
      </c>
      <c r="K16" s="105" t="s">
        <v>1142</v>
      </c>
      <c r="L16" s="105" t="s">
        <v>10</v>
      </c>
      <c r="M16" s="105" t="s">
        <v>1140</v>
      </c>
      <c r="N16" s="105" t="s">
        <v>1138</v>
      </c>
      <c r="O16" s="105" t="s">
        <v>880</v>
      </c>
      <c r="P16" s="105" t="s">
        <v>349</v>
      </c>
      <c r="Q16" s="105" t="s">
        <v>449</v>
      </c>
      <c r="R16" s="105"/>
      <c r="S16" s="105" t="s">
        <v>1137</v>
      </c>
      <c r="W16" s="105" t="s">
        <v>1157</v>
      </c>
      <c r="X16" s="105"/>
      <c r="Z16" s="105" t="s">
        <v>1166</v>
      </c>
      <c r="AA16" s="105" t="s">
        <v>1887</v>
      </c>
      <c r="AB16" s="108" t="s">
        <v>1144</v>
      </c>
      <c r="AC16" s="108"/>
      <c r="AD16" s="108"/>
      <c r="AE16" s="108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S1,S16,CHAR(10), U1,U16,CHAR(10), V1,V16,CHAR(10), W1,W16,CHAR(10), X1,X16,CHAR(10), Y1,Y16,CHAR(10), Z1,Z16,CHAR(10), AA1,AA16,CHAR(10), AB1,AB16,CHAR(10), AC1,AC16,CHAR(10), AD1,AD16,CHAR(10), )</f>
        <v xml:space="preserve">Модель
Тип: Акустическая система активная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В.Ч.:1.75”
Коннектор: XLR-f/m
Номинальная мощность: 400 Вт
Максимальная мощность: 800 Вт
Мощность усилителя:600 Вт
Программная выходная мощность (PROGRAM):
Максимальное звуковое давление:128 дБ
тип динамиков
ВЧ динамик: 
НЧ динамик:15”
Динамик СЧ:
Угол раскрытия:
Размер: FT 425x700x450 мм
Вес: FT 23,5
Корпус: Корпус FT или X
положение установки
Угол подвеска:
</v>
      </c>
      <c r="AF16" s="108"/>
      <c r="AG16" s="89" t="s">
        <v>1922</v>
      </c>
      <c r="AH16" s="146">
        <v>59900</v>
      </c>
      <c r="AK16" s="72" t="s">
        <v>1827</v>
      </c>
      <c r="AL16" s="72" t="str">
        <f t="shared" si="0"/>
        <v>MCF F-1501J+ Акустическая система активная</v>
      </c>
      <c r="AM16" s="72" t="str">
        <f t="shared" si="1"/>
        <v>MCF F-1501J+ Акустическая система активная</v>
      </c>
      <c r="AN16" s="72" t="s">
        <v>1840</v>
      </c>
      <c r="AO16" s="15"/>
      <c r="AP16" s="72" t="s">
        <v>1837</v>
      </c>
      <c r="AQ16" s="72" t="s">
        <v>1841</v>
      </c>
      <c r="AR16" s="72" t="s">
        <v>1842</v>
      </c>
      <c r="AS16" s="72" t="s">
        <v>1843</v>
      </c>
      <c r="AT16" s="72" t="s">
        <v>1844</v>
      </c>
      <c r="AU16" s="72" t="s">
        <v>1837</v>
      </c>
    </row>
    <row r="17" spans="1:47" ht="50.25" customHeight="1" x14ac:dyDescent="0.25">
      <c r="A17" s="88">
        <v>16</v>
      </c>
      <c r="B17" s="133" t="s">
        <v>1315</v>
      </c>
      <c r="C17" s="133"/>
      <c r="D17" s="94" t="s">
        <v>1122</v>
      </c>
      <c r="E17" s="88"/>
      <c r="F17" s="90"/>
      <c r="G17" s="88"/>
      <c r="H17" s="88"/>
      <c r="I17" s="88"/>
      <c r="J17" s="105" t="s">
        <v>1883</v>
      </c>
      <c r="K17" s="105" t="s">
        <v>1142</v>
      </c>
      <c r="L17" s="105" t="s">
        <v>10</v>
      </c>
      <c r="M17" s="105" t="s">
        <v>1140</v>
      </c>
      <c r="N17" s="105" t="s">
        <v>1131</v>
      </c>
      <c r="O17" s="105" t="s">
        <v>880</v>
      </c>
      <c r="P17" s="105" t="s">
        <v>349</v>
      </c>
      <c r="S17" s="105" t="s">
        <v>1137</v>
      </c>
      <c r="W17" s="105" t="s">
        <v>1157</v>
      </c>
      <c r="X17" s="105"/>
      <c r="Z17" s="105" t="s">
        <v>1167</v>
      </c>
      <c r="AA17" s="105" t="s">
        <v>1889</v>
      </c>
      <c r="AB17" s="108" t="s">
        <v>1144</v>
      </c>
      <c r="AC17" s="108"/>
      <c r="AD17" s="108"/>
      <c r="AE17" s="108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S1,S17,CHAR(10), U1,U17,CHAR(10), V1,V17,CHAR(10), W1,W17,CHAR(10), X1,X17,CHAR(10), Y1,Y17,CHAR(10), Z1,Z17,CHAR(10), AA1,AA17,CHAR(10), AB1,AB17,CHAR(10), AC1,AC17,CHAR(10), AD1,AD17,CHAR(10),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В.Ч.:1.75”
Коннектор: 2xСпикон
Номинальная мощность: 400 Вт
Максимальная мощность: 800 Вт
Мощность усилителя:
Программная выходная мощность (PROGRAM):
Максимальное звуковое давление:128 дБ
тип динамиков
ВЧ динамик: 
НЧ динамик:15”
Динамик СЧ:
Угол раскрытия:
Размер: 460x689x442 мм
Вес: 20,5
Корпус: Корпус FT или X
положение установки
Угол подвеска:
</v>
      </c>
      <c r="AF17" s="108"/>
      <c r="AG17" s="89" t="s">
        <v>1920</v>
      </c>
      <c r="AH17" s="89" t="s">
        <v>1921</v>
      </c>
      <c r="AK17" s="72" t="s">
        <v>1827</v>
      </c>
      <c r="AL17" s="72" t="str">
        <f t="shared" si="0"/>
        <v>MCF F-1501J Акустическая система</v>
      </c>
      <c r="AM17" s="72" t="str">
        <f t="shared" si="1"/>
        <v>MCF F-1501J Акустическая система</v>
      </c>
      <c r="AN17" s="72" t="s">
        <v>1840</v>
      </c>
      <c r="AO17" s="15"/>
      <c r="AP17" s="72" t="s">
        <v>1837</v>
      </c>
      <c r="AQ17" s="72" t="s">
        <v>1841</v>
      </c>
      <c r="AR17" s="72" t="s">
        <v>1842</v>
      </c>
      <c r="AS17" s="72" t="s">
        <v>1843</v>
      </c>
      <c r="AT17" s="72" t="s">
        <v>1844</v>
      </c>
      <c r="AU17" s="72" t="s">
        <v>1837</v>
      </c>
    </row>
    <row r="18" spans="1:47" ht="50.25" customHeight="1" x14ac:dyDescent="0.25">
      <c r="A18" s="88">
        <v>17</v>
      </c>
      <c r="B18" s="133" t="s">
        <v>1796</v>
      </c>
      <c r="C18" s="133"/>
      <c r="D18" s="94" t="s">
        <v>1122</v>
      </c>
      <c r="E18" s="88"/>
      <c r="F18" s="90"/>
      <c r="G18" s="88"/>
      <c r="H18" s="89"/>
      <c r="I18" s="89"/>
      <c r="J18" s="105" t="s">
        <v>1890</v>
      </c>
      <c r="K18" s="105" t="s">
        <v>1142</v>
      </c>
      <c r="L18" s="105" t="s">
        <v>10</v>
      </c>
      <c r="M18" s="105" t="s">
        <v>1156</v>
      </c>
      <c r="N18" s="105" t="s">
        <v>1131</v>
      </c>
      <c r="O18" s="105" t="s">
        <v>303</v>
      </c>
      <c r="P18" s="105" t="s">
        <v>1168</v>
      </c>
      <c r="S18" s="105" t="s">
        <v>1146</v>
      </c>
      <c r="W18" s="105" t="s">
        <v>1157</v>
      </c>
      <c r="X18" s="105"/>
      <c r="Z18" s="105" t="s">
        <v>1169</v>
      </c>
      <c r="AA18" s="105">
        <v>29</v>
      </c>
      <c r="AB18" s="110" t="s">
        <v>1144</v>
      </c>
      <c r="AC18" s="110"/>
      <c r="AD18" s="110"/>
      <c r="AE18" s="110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S1,S18,CHAR(10), U1,U18,CHAR(10), V1,V18,CHAR(10), W1,W18,CHAR(10), X1,X18,CHAR(10), Y1,Y18,CHAR(10), Z1,Z18,CHAR(10), AA1,AA18,CHAR(10), AB1,AB18,CHAR(10), AC1,AC18,CHAR(10), AD1,AD18,CHAR(10),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частота:45 Гц - 20ц (± 3 дБ)
Чувствительность: 98 дБ (1 Вт / 1 м)
Сопротивление: 8 Ом
Драйвер В.Ч.:2.0”
Коннектор: 2xСпикон
Номинальная мощность: 500 Вт
Максимальная мощность: 1400 Вт
Мощность усилителя:
Программная выходная мощность (PROGRAM):
Максимальное звуковое давление:136 дБ
тип динамиков
ВЧ динамик: 
НЧ динамик:15”
Динамик СЧ:
Угол раскрытия:
Размер: 438x712x400 мм
Вес: 29
Корпус: Корпус FT или X
положение установки
Угол подвеска:
</v>
      </c>
      <c r="AF18" s="110"/>
      <c r="AG18" s="89" t="s">
        <v>1928</v>
      </c>
      <c r="AH18" s="89" t="s">
        <v>1846</v>
      </c>
      <c r="AK18" s="72" t="s">
        <v>1827</v>
      </c>
      <c r="AL18" s="72" t="str">
        <f t="shared" si="0"/>
        <v>MCF F-1501L NEXT Акустическая система</v>
      </c>
      <c r="AM18" s="72" t="str">
        <f t="shared" si="1"/>
        <v>MCF F-1501L NEXT Акустическая система</v>
      </c>
      <c r="AN18" s="72" t="s">
        <v>1840</v>
      </c>
      <c r="AO18" s="32"/>
      <c r="AP18" s="72" t="s">
        <v>1837</v>
      </c>
      <c r="AQ18" s="72" t="s">
        <v>1841</v>
      </c>
      <c r="AR18" s="72" t="s">
        <v>1842</v>
      </c>
      <c r="AS18" s="72" t="s">
        <v>1843</v>
      </c>
      <c r="AT18" s="72" t="s">
        <v>1844</v>
      </c>
      <c r="AU18" s="72" t="s">
        <v>1837</v>
      </c>
    </row>
    <row r="19" spans="1:47" ht="50.25" customHeight="1" x14ac:dyDescent="0.25">
      <c r="A19" s="88">
        <v>18</v>
      </c>
      <c r="B19" s="133" t="s">
        <v>1316</v>
      </c>
      <c r="C19" s="133"/>
      <c r="D19" s="108"/>
      <c r="E19" s="88"/>
      <c r="F19" s="2"/>
      <c r="G19" s="88"/>
      <c r="H19" s="88"/>
      <c r="I19" s="88"/>
      <c r="J19" s="108" t="s">
        <v>1891</v>
      </c>
      <c r="K19" s="108" t="s">
        <v>1142</v>
      </c>
      <c r="L19" s="108" t="s">
        <v>1170</v>
      </c>
      <c r="O19" s="108" t="s">
        <v>59</v>
      </c>
      <c r="P19" s="108" t="s">
        <v>873</v>
      </c>
      <c r="S19" s="108" t="s">
        <v>1153</v>
      </c>
      <c r="V19" s="108" t="s">
        <v>1173</v>
      </c>
      <c r="X19" s="108" t="s">
        <v>1172</v>
      </c>
      <c r="Z19" s="108" t="s">
        <v>1174</v>
      </c>
      <c r="AA19" s="108" t="s">
        <v>1892</v>
      </c>
      <c r="AB19" s="95"/>
      <c r="AC19" s="95"/>
      <c r="AD19" s="95"/>
      <c r="AE19" s="95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S1,S19,CHAR(10), U1,U19,CHAR(10), V1,V19,CHAR(10), W1,W19,CHAR(10), X1,X19,CHAR(10), Y1,Y19,CHAR(10), Z1,Z19,CHAR(10), AA1,AA19,CHAR(10), AB1,AB19,CHAR(10), AC1,AC19,CHAR(10), AD1,AD19,CHAR(10), )</f>
        <v xml:space="preserve">Модель
Тип: 
Мощность: 
Потребляемая мощность
Диапазон частот: 
Частотный диапазон (-6дБ):
Частотный диапазон (-10дБ):
Воспроизводимая частота:120 Гц - 18ц (± 6 дБ)
Чувствительность: 98 дБ (1 Вт / 1 м)
Сопротивление: 16 Ом
Драйвер В.Ч.:
Коннектор: 
Номинальная мощность: 80 Вт
Максимальная мощность: 160 Вт
Мощность усилителя:
Программная выходная мощность (PROGRAM):
Максимальное звуковое давление:119 дБ
тип динамиков
ВЧ динамик: 1х1”
НЧ динамик:
Динамик СЧ:2x4”
Угол раскрытия:
Размер: 345x120x145 мм
Вес: 2,6
Корпус: 
положение установки
Угол подвеска:
</v>
      </c>
      <c r="AF19" s="95"/>
      <c r="AG19" s="147">
        <v>4900</v>
      </c>
      <c r="AH19" s="147">
        <v>19600</v>
      </c>
      <c r="AK19" s="72" t="s">
        <v>1827</v>
      </c>
      <c r="AL19" s="72" t="str">
        <f t="shared" si="0"/>
        <v xml:space="preserve">MCF F-402J </v>
      </c>
      <c r="AM19" s="72" t="str">
        <f t="shared" si="1"/>
        <v xml:space="preserve">MCF F-402J </v>
      </c>
      <c r="AN19" s="72" t="s">
        <v>1840</v>
      </c>
      <c r="AO19" s="15"/>
      <c r="AP19" s="72" t="s">
        <v>1837</v>
      </c>
      <c r="AQ19" s="72" t="s">
        <v>1841</v>
      </c>
      <c r="AR19" s="72" t="s">
        <v>1842</v>
      </c>
      <c r="AS19" s="72" t="s">
        <v>1843</v>
      </c>
      <c r="AT19" s="72" t="s">
        <v>1844</v>
      </c>
      <c r="AU19" s="72" t="s">
        <v>1837</v>
      </c>
    </row>
    <row r="20" spans="1:47" ht="50.25" customHeight="1" x14ac:dyDescent="0.25">
      <c r="A20" s="88">
        <v>19</v>
      </c>
      <c r="B20" s="133" t="s">
        <v>1317</v>
      </c>
      <c r="C20" s="133"/>
      <c r="D20" s="94" t="s">
        <v>1122</v>
      </c>
      <c r="E20" s="111"/>
      <c r="F20" s="54"/>
      <c r="G20" s="88"/>
      <c r="H20" s="88"/>
      <c r="I20" s="88"/>
      <c r="J20" s="90" t="s">
        <v>1891</v>
      </c>
      <c r="K20" s="90" t="s">
        <v>1142</v>
      </c>
      <c r="L20" s="90" t="s">
        <v>10</v>
      </c>
      <c r="M20" s="91"/>
      <c r="N20" s="91"/>
      <c r="O20" s="90" t="s">
        <v>873</v>
      </c>
      <c r="P20" s="90" t="s">
        <v>849</v>
      </c>
      <c r="Q20" s="91"/>
      <c r="R20" s="91"/>
      <c r="S20" s="90" t="s">
        <v>1177</v>
      </c>
      <c r="T20" s="91"/>
      <c r="U20" s="91"/>
      <c r="V20" s="90" t="s">
        <v>1176</v>
      </c>
      <c r="X20" s="90" t="s">
        <v>1175</v>
      </c>
      <c r="Z20" s="90" t="s">
        <v>1178</v>
      </c>
      <c r="AA20" s="90" t="s">
        <v>1893</v>
      </c>
      <c r="AB20" s="90"/>
      <c r="AC20" s="90"/>
      <c r="AD20" s="90"/>
      <c r="AE20" s="90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S1,S20,CHAR(10), U1,U20,CHAR(10), V1,V20,CHAR(10), W1,W20,CHAR(10), X1,X20,CHAR(10), Y1,Y20,CHAR(10), Z1,Z20,CHAR(10), AA1,AA20,CHAR(10), AB1,AB20,CHAR(10), AC1,AC20,CHAR(10), AD1,AD20,CHAR(10),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частота:120 Гц - 18ц (± 6 дБ)
Чувствительность: 98 дБ (1 Вт / 1 м)
Сопротивление: 8 Ом
Драйвер В.Ч.:
Коннектор: 
Номинальная мощность: 160 Вт
Максимальная мощность: 320 Вт
Мощность усилителя:
Программная выходная мощность (PROGRAM):
Максимальное звуковое давление:129 дБ
тип динамиков
ВЧ динамик: 1х1” (Феромагнит)
НЧ динамик:
Динамик СЧ:4x4”
Угол раскрытия:
Размер: 113x128x660 мм
Вес: 4,6
Корпус: 
положение установки
Угол подвеска:
</v>
      </c>
      <c r="AF20" s="90"/>
      <c r="AG20" s="89" t="s">
        <v>1918</v>
      </c>
      <c r="AH20" s="89" t="s">
        <v>1919</v>
      </c>
      <c r="AK20" s="72" t="s">
        <v>1827</v>
      </c>
      <c r="AL20" s="72" t="str">
        <f t="shared" si="0"/>
        <v>MCF F-404 Акустическая система</v>
      </c>
      <c r="AM20" s="72" t="str">
        <f t="shared" si="1"/>
        <v>MCF F-404 Акустическая система</v>
      </c>
      <c r="AN20" s="72" t="s">
        <v>1840</v>
      </c>
      <c r="AO20" s="15"/>
      <c r="AP20" s="72" t="s">
        <v>1837</v>
      </c>
      <c r="AQ20" s="72" t="s">
        <v>1841</v>
      </c>
      <c r="AR20" s="72" t="s">
        <v>1842</v>
      </c>
      <c r="AS20" s="72" t="s">
        <v>1843</v>
      </c>
      <c r="AT20" s="72" t="s">
        <v>1844</v>
      </c>
      <c r="AU20" s="72" t="s">
        <v>1837</v>
      </c>
    </row>
    <row r="21" spans="1:47" ht="50.25" customHeight="1" x14ac:dyDescent="0.25">
      <c r="A21" s="88">
        <v>20</v>
      </c>
      <c r="B21" s="133" t="s">
        <v>1335</v>
      </c>
      <c r="C21" s="133"/>
      <c r="D21" s="94" t="s">
        <v>1122</v>
      </c>
      <c r="E21" s="111"/>
      <c r="F21" s="54"/>
      <c r="G21" s="88"/>
      <c r="H21" s="88"/>
      <c r="I21" s="88"/>
      <c r="J21" s="88"/>
      <c r="K21" s="90" t="s">
        <v>1142</v>
      </c>
      <c r="L21" s="90" t="s">
        <v>10</v>
      </c>
      <c r="M21" s="91"/>
      <c r="N21" s="91"/>
      <c r="O21" s="90" t="s">
        <v>873</v>
      </c>
      <c r="P21" s="90" t="s">
        <v>849</v>
      </c>
      <c r="Q21" s="91"/>
      <c r="R21" s="91"/>
      <c r="S21" s="90" t="s">
        <v>1177</v>
      </c>
      <c r="T21" s="91"/>
      <c r="U21" s="91"/>
      <c r="V21" s="90" t="s">
        <v>1179</v>
      </c>
      <c r="X21" s="90" t="s">
        <v>1175</v>
      </c>
      <c r="Z21" s="90" t="s">
        <v>1178</v>
      </c>
      <c r="AA21" s="90" t="s">
        <v>1893</v>
      </c>
      <c r="AB21" s="111" t="s">
        <v>1144</v>
      </c>
      <c r="AC21" s="111"/>
      <c r="AD21" s="111"/>
      <c r="AE21" s="111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S1,S21,CHAR(10), U1,U21,CHAR(10), V1,V21,CHAR(10), W1,W21,CHAR(10), X1,X21,CHAR(10), Y1,Y21,CHAR(10), Z1,Z21,CHAR(10), AA1,AA21,CHAR(10), AB1,AB21,CHAR(10), AC1,AC21,CHAR(10), AD1,AD21,CHAR(10),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
Чувствительность: 98 дБ (1 Вт / 1 м)
Сопротивление: 8 Ом
Драйвер В.Ч.:
Коннектор: 
Номинальная мощность: 160 Вт
Максимальная мощность: 320 Вт
Мощность усилителя:
Программная выходная мощность (PROGRAM):
Максимальное звуковое давление:129 дБ
тип динамиков
ВЧ динамик: 1х1” (Неодимовый)
НЧ динамик:
Динамик СЧ:4x4”
Угол раскрытия:
Размер: 113x128x660 мм
Вес: 4,6
Корпус: Корпус FT или X
положение установки
Угол подвеска:
</v>
      </c>
      <c r="AF21" s="111"/>
      <c r="AG21" s="89" t="s">
        <v>1929</v>
      </c>
      <c r="AH21" s="89" t="s">
        <v>1930</v>
      </c>
      <c r="AK21" s="72" t="s">
        <v>1827</v>
      </c>
      <c r="AL21" s="72" t="str">
        <f t="shared" si="0"/>
        <v>MCF F-404 NEXT Акустическая система</v>
      </c>
      <c r="AM21" s="72" t="str">
        <f t="shared" si="1"/>
        <v>MCF F-404 NEXT Акустическая система</v>
      </c>
      <c r="AN21" s="72" t="s">
        <v>1840</v>
      </c>
      <c r="AO21" s="32"/>
      <c r="AP21" s="72" t="s">
        <v>1837</v>
      </c>
      <c r="AQ21" s="72" t="s">
        <v>1841</v>
      </c>
      <c r="AR21" s="72" t="s">
        <v>1842</v>
      </c>
      <c r="AS21" s="72" t="s">
        <v>1843</v>
      </c>
      <c r="AT21" s="72" t="s">
        <v>1844</v>
      </c>
      <c r="AU21" s="72" t="s">
        <v>1837</v>
      </c>
    </row>
    <row r="22" spans="1:47" ht="50.25" customHeight="1" x14ac:dyDescent="0.25">
      <c r="A22" s="88">
        <v>21</v>
      </c>
      <c r="B22" s="133" t="s">
        <v>1180</v>
      </c>
      <c r="C22" s="133"/>
      <c r="D22" s="94" t="s">
        <v>1122</v>
      </c>
      <c r="E22" s="111"/>
      <c r="F22" s="54"/>
      <c r="G22" s="88"/>
      <c r="H22" s="88"/>
      <c r="I22" s="88"/>
      <c r="J22" s="71" t="s">
        <v>1894</v>
      </c>
      <c r="K22" s="71" t="s">
        <v>1142</v>
      </c>
      <c r="L22" s="71" t="s">
        <v>10</v>
      </c>
      <c r="M22" s="91"/>
      <c r="N22" s="91"/>
      <c r="O22" s="71" t="s">
        <v>873</v>
      </c>
      <c r="P22" s="71" t="s">
        <v>849</v>
      </c>
      <c r="Q22" s="91"/>
      <c r="R22" s="91"/>
      <c r="S22" s="71" t="s">
        <v>1181</v>
      </c>
      <c r="T22" s="91"/>
      <c r="U22" s="91"/>
      <c r="V22" s="71" t="s">
        <v>1173</v>
      </c>
      <c r="X22" s="71" t="s">
        <v>1175</v>
      </c>
      <c r="Z22" s="71" t="s">
        <v>1182</v>
      </c>
      <c r="AA22" s="71" t="s">
        <v>1893</v>
      </c>
      <c r="AB22" s="71"/>
      <c r="AC22" s="71"/>
      <c r="AD22" s="71"/>
      <c r="AE22" s="71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S1,S22,CHAR(10), U1,U22,CHAR(10), V1,V22,CHAR(10), W1,W22,CHAR(10), X1,X22,CHAR(10), Y1,Y22,CHAR(10), Z1,Z22,CHAR(10), AA1,AA22,CHAR(10), AB1,AB22,CHAR(10), AC1,AC22,CHAR(10), AD1,AD22,CHAR(10),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частота:120 Гц - 20ц (± 6 дБ)
Чувствительность: 98 дБ (1 Вт / 1 м)
Сопротивление: 8 Ом
Драйвер В.Ч.:
Коннектор: 
Номинальная мощность: 160 Вт
Максимальная мощность: 320 Вт
Мощность усилителя:
Программная выходная мощность (PROGRAM):
Максимальное звуковое давление:123 дБ
тип динамиков
ВЧ динамик: 1х1”
НЧ динамик:
Динамик СЧ:4x4”
Угол раскрытия:
Размер: 113x128x416 мм
Вес: 4,6
Корпус: 
положение установки
Угол подвеска:
</v>
      </c>
      <c r="AF22" s="71"/>
      <c r="AG22" s="146">
        <v>24900</v>
      </c>
      <c r="AH22" s="89" t="s">
        <v>1931</v>
      </c>
      <c r="AK22" s="72" t="s">
        <v>1827</v>
      </c>
      <c r="AL22" s="72" t="str">
        <f t="shared" si="0"/>
        <v>MCF 403 NEXT Акустическая система</v>
      </c>
      <c r="AM22" s="72" t="str">
        <f t="shared" si="1"/>
        <v>MCF 403 NEXT Акустическая система</v>
      </c>
      <c r="AN22" s="72" t="s">
        <v>1840</v>
      </c>
      <c r="AO22" s="15"/>
      <c r="AP22" s="72" t="s">
        <v>1837</v>
      </c>
      <c r="AQ22" s="72" t="s">
        <v>1841</v>
      </c>
      <c r="AR22" s="72" t="s">
        <v>1842</v>
      </c>
      <c r="AS22" s="72" t="s">
        <v>1843</v>
      </c>
      <c r="AT22" s="72" t="s">
        <v>1844</v>
      </c>
      <c r="AU22" s="72" t="s">
        <v>1837</v>
      </c>
    </row>
    <row r="23" spans="1:47" ht="50.25" customHeight="1" x14ac:dyDescent="0.25">
      <c r="A23" s="88">
        <v>22</v>
      </c>
      <c r="B23" s="133" t="s">
        <v>1318</v>
      </c>
      <c r="C23" s="133"/>
      <c r="D23" s="94" t="s">
        <v>1122</v>
      </c>
      <c r="E23" s="111"/>
      <c r="F23" s="54"/>
      <c r="G23" s="88"/>
      <c r="H23" s="88"/>
      <c r="I23" s="88"/>
      <c r="J23" s="71" t="s">
        <v>1891</v>
      </c>
      <c r="K23" s="71" t="s">
        <v>1142</v>
      </c>
      <c r="L23" s="71" t="s">
        <v>10</v>
      </c>
      <c r="M23" s="91"/>
      <c r="N23" s="91"/>
      <c r="O23" s="71" t="s">
        <v>559</v>
      </c>
      <c r="P23" s="71" t="s">
        <v>586</v>
      </c>
      <c r="Q23" s="91"/>
      <c r="R23" s="91"/>
      <c r="S23" s="71" t="s">
        <v>1185</v>
      </c>
      <c r="T23" s="91"/>
      <c r="U23" s="91"/>
      <c r="V23" s="71" t="s">
        <v>1176</v>
      </c>
      <c r="X23" s="71" t="s">
        <v>1183</v>
      </c>
      <c r="Z23" s="71" t="s">
        <v>1186</v>
      </c>
      <c r="AA23" s="2">
        <v>4</v>
      </c>
      <c r="AB23" s="71" t="s">
        <v>1184</v>
      </c>
      <c r="AC23" s="71"/>
      <c r="AD23" s="71"/>
      <c r="AE23" s="71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S1,S23,CHAR(10), U1,U23,CHAR(10), V1,V23,CHAR(10), W1,W23,CHAR(10), X1,X23,CHAR(10), Y1,Y23,CHAR(10), Z1,Z23,CHAR(10), AA1,AA23,CHAR(10), AB1,AB23,CHAR(10), AC1,AC23,CHAR(10), AD1,AD23,CHAR(10),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частота:120 Гц - 18ц (± 6 дБ)
Чувствительность: 98 дБ (1 Вт / 1 м)
Сопротивление: 8 Ом
Драйвер В.Ч.:
Коннектор: 
Номинальная мощность: 120 Вт
Максимальная мощность: 240 Вт
Мощность усилителя:
Программная выходная мощность (PROGRAM):
Максимальное звуковое давление:126 дБ
тип динамиков
ВЧ динамик: 1х1” (Феромагнит)
НЧ динамик:
Динамик СЧ:3x4” (Феромагнит)
Угол раскрытия:
Размер: 113x128x550 мм
Вес: 4
Корпус: Берёзовая фанера (Россия)
положение установки
Угол подвеска:
</v>
      </c>
      <c r="AF23" s="71"/>
      <c r="AG23" s="146">
        <v>7900</v>
      </c>
      <c r="AH23" s="146">
        <v>14900</v>
      </c>
      <c r="AK23" s="72" t="s">
        <v>1827</v>
      </c>
      <c r="AL23" s="72" t="str">
        <f t="shared" si="0"/>
        <v>MCF F-403 Акустическая система</v>
      </c>
      <c r="AM23" s="72" t="str">
        <f t="shared" si="1"/>
        <v>MCF F-403 Акустическая система</v>
      </c>
      <c r="AN23" s="72" t="s">
        <v>1840</v>
      </c>
      <c r="AO23" s="15"/>
      <c r="AP23" s="72" t="s">
        <v>1837</v>
      </c>
      <c r="AQ23" s="72" t="s">
        <v>1841</v>
      </c>
      <c r="AR23" s="72" t="s">
        <v>1842</v>
      </c>
      <c r="AS23" s="72" t="s">
        <v>1843</v>
      </c>
      <c r="AT23" s="72" t="s">
        <v>1844</v>
      </c>
      <c r="AU23" s="72" t="s">
        <v>1837</v>
      </c>
    </row>
    <row r="24" spans="1:47" ht="50.25" customHeight="1" x14ac:dyDescent="0.25">
      <c r="A24" s="88">
        <v>23</v>
      </c>
      <c r="B24" s="134" t="s">
        <v>1336</v>
      </c>
      <c r="C24" s="134"/>
      <c r="D24" s="94" t="s">
        <v>1302</v>
      </c>
      <c r="E24" s="88"/>
      <c r="F24" s="111" t="s">
        <v>1187</v>
      </c>
      <c r="G24" s="54"/>
      <c r="H24" s="88"/>
      <c r="I24" s="88"/>
      <c r="J24" s="111" t="s">
        <v>1895</v>
      </c>
      <c r="K24" s="111" t="s">
        <v>1142</v>
      </c>
      <c r="L24" s="111" t="s">
        <v>10</v>
      </c>
      <c r="M24" s="111" t="s">
        <v>1134</v>
      </c>
      <c r="N24" s="111" t="s">
        <v>1138</v>
      </c>
      <c r="O24" s="111" t="s">
        <v>880</v>
      </c>
      <c r="P24" s="111" t="s">
        <v>345</v>
      </c>
      <c r="Q24" s="111" t="s">
        <v>303</v>
      </c>
      <c r="R24" s="111"/>
      <c r="S24" s="111" t="s">
        <v>1137</v>
      </c>
      <c r="T24" s="91"/>
      <c r="U24" s="91"/>
      <c r="W24" s="111" t="s">
        <v>1141</v>
      </c>
      <c r="Z24" s="111" t="s">
        <v>1188</v>
      </c>
      <c r="AA24" s="111" t="s">
        <v>1896</v>
      </c>
      <c r="AB24" s="111" t="s">
        <v>1189</v>
      </c>
      <c r="AC24" s="111"/>
      <c r="AD24" s="111"/>
      <c r="AE24" s="111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S1,S24,CHAR(10), U1,U24,CHAR(10), V1,V24,CHAR(10), W1,W24,CHAR(10), X1,X24,CHAR(10), Y1,Y24,CHAR(10), Z1,Z24,CHAR(10), AA1,AA24,CHAR(10), AB1,AB24,CHAR(10), AC1,AC24,CHAR(10), AD1,AD24,CHAR(10), )</f>
        <v xml:space="preserve">Модель
Тип: Акустическая система активная
Мощность: 
Потребляемая мощностьдо 900 Вт
Диапазон частот: 
Частотный диапазон (-6дБ):
Частотный диапазон (-10дБ):
Воспроизводимая частота:50 Гц - 18ц (± 3 дБ)
Чувствительность: 98 дБ (1 Вт / 1 м)
Сопротивление: 8 Ом
Драйвер В.Ч.:1.35”
Коннектор: XLR-f/m
Номинальная мощность: 400 Вт
Максимальная мощность: 1000 Вт
Мощность усилителя:500 Вт
Программная выходная мощность (PROGRAM):
Максимальное звуковое давление:128 дБ
тип динамиков
ВЧ динамик: 
НЧ динамик:12”
Динамик СЧ:
Угол раскрытия:
Размер: Ш380хВ580хГ300мм
Вес: 14,3
Корпус: Высокопрочный пропилен
положение установки
Угол подвеска:
</v>
      </c>
      <c r="AF24" s="111"/>
      <c r="AG24" s="146">
        <v>19900</v>
      </c>
      <c r="AH24" s="89" t="s">
        <v>1932</v>
      </c>
      <c r="AK24" s="72" t="s">
        <v>1827</v>
      </c>
      <c r="AL24" s="72" t="str">
        <f t="shared" si="0"/>
        <v>MCF N-1201L(PL+) Акустическая система активная</v>
      </c>
      <c r="AM24" s="72" t="str">
        <f t="shared" si="1"/>
        <v>MCF N-1201L(PL+) Акустическая система активная</v>
      </c>
      <c r="AN24" s="72" t="s">
        <v>1840</v>
      </c>
      <c r="AO24" s="15"/>
      <c r="AP24" s="72" t="s">
        <v>1837</v>
      </c>
      <c r="AQ24" s="72" t="s">
        <v>1841</v>
      </c>
      <c r="AR24" s="72" t="s">
        <v>1842</v>
      </c>
      <c r="AS24" s="72" t="s">
        <v>1843</v>
      </c>
      <c r="AT24" s="72" t="s">
        <v>1844</v>
      </c>
      <c r="AU24" s="72" t="s">
        <v>1837</v>
      </c>
    </row>
    <row r="25" spans="1:47" ht="50.25" customHeight="1" x14ac:dyDescent="0.25">
      <c r="A25" s="88">
        <v>24</v>
      </c>
      <c r="B25" s="134" t="s">
        <v>1337</v>
      </c>
      <c r="C25" s="134"/>
      <c r="D25" s="94" t="s">
        <v>1302</v>
      </c>
      <c r="E25" s="88"/>
      <c r="F25" s="111" t="s">
        <v>1152</v>
      </c>
      <c r="G25" s="54"/>
      <c r="H25" s="88"/>
      <c r="I25" s="88"/>
      <c r="J25" s="111" t="s">
        <v>1895</v>
      </c>
      <c r="K25" s="111" t="s">
        <v>1142</v>
      </c>
      <c r="L25" s="111" t="s">
        <v>10</v>
      </c>
      <c r="M25" s="111" t="s">
        <v>1134</v>
      </c>
      <c r="N25" s="111" t="s">
        <v>1138</v>
      </c>
      <c r="O25" s="111" t="s">
        <v>307</v>
      </c>
      <c r="P25" s="111" t="s">
        <v>880</v>
      </c>
      <c r="Q25" s="111" t="s">
        <v>588</v>
      </c>
      <c r="R25" s="111"/>
      <c r="S25" s="111" t="s">
        <v>1153</v>
      </c>
      <c r="T25" s="91"/>
      <c r="U25" s="91"/>
      <c r="W25" s="111" t="s">
        <v>1141</v>
      </c>
      <c r="Z25" s="111" t="s">
        <v>1188</v>
      </c>
      <c r="AA25" s="111" t="s">
        <v>1190</v>
      </c>
      <c r="AB25" s="54"/>
      <c r="AC25" s="54"/>
      <c r="AD25" s="54"/>
      <c r="AE25" s="54" t="str">
        <f>CONCATENATE( C1,C25,CHAR(10), D1,D25,CHAR(10), E1,E25,CHAR(10), F1,F25,CHAR(10), G1,G25,CHAR(10), H1,H25,CHAR(10), I1,I25,CHAR(10), J1,J25,CHAR(10), K1,K25,CHAR(10), L1,L25,CHAR(10), M1,M25,CHAR(10), N1,N25,CHAR(10), O1,O25,CHAR(10), P1,P25,CHAR(10), Q1,Q25,CHAR(10), R1,R25,CHAR(10), S1,S25,CHAR(10), U1,U25,CHAR(10), V1,V25,CHAR(10), W1,W25,CHAR(10), X1,X25,CHAR(10), Y1,Y25,CHAR(10), Z1,Z25,CHAR(10), AA1,AA25,CHAR(10), AB1,AB25,CHAR(10), AC1,AC25,CHAR(10), AD1,AD25,CHAR(10), )</f>
        <v xml:space="preserve">Модель
Тип: Акустическая система активная
Мощность: 
Потребляемая мощностьдо 500 Вт
Диапазон частот: 
Частотный диапазон (-6дБ):
Частотный диапазон (-10дБ):
Воспроизводимая частота:50 Гц - 18ц (± 3 дБ)
Чувствительность: 98 дБ (1 Вт / 1 м)
Сопротивление: 8 Ом
Драйвер В.Ч.:1.35”
Коннектор: XLR-f/m
Номинальная мощность: 200 Вт
Максимальная мощность: 400 Вт
Мощность усилителя:300 Вт
Программная выходная мощность (PROGRAM):
Максимальное звуковое давление:119 дБ
тип динамиков
ВЧ динамик: 
НЧ динамик:12”
Динамик СЧ:
Угол раскрытия:
Размер: Ш380хВ580хГ300мм
Вес: 11кг/13кг
Корпус: 
положение установки
Угол подвеска:
</v>
      </c>
      <c r="AF25" s="54"/>
      <c r="AG25" s="146">
        <v>17900</v>
      </c>
      <c r="AH25" s="89" t="s">
        <v>1933</v>
      </c>
      <c r="AK25" s="72" t="s">
        <v>1827</v>
      </c>
      <c r="AL25" s="72" t="str">
        <f t="shared" si="0"/>
        <v>MCF F-1201J(PL+) Акустическая система активная</v>
      </c>
      <c r="AM25" s="72" t="str">
        <f t="shared" si="1"/>
        <v>MCF F-1201J(PL+) Акустическая система активная</v>
      </c>
      <c r="AN25" s="72" t="s">
        <v>1840</v>
      </c>
      <c r="AO25" s="15"/>
      <c r="AP25" s="72" t="s">
        <v>1837</v>
      </c>
      <c r="AQ25" s="72" t="s">
        <v>1841</v>
      </c>
      <c r="AR25" s="72" t="s">
        <v>1842</v>
      </c>
      <c r="AS25" s="72" t="s">
        <v>1843</v>
      </c>
      <c r="AT25" s="72" t="s">
        <v>1844</v>
      </c>
      <c r="AU25" s="72" t="s">
        <v>1837</v>
      </c>
    </row>
    <row r="26" spans="1:47" ht="50.25" customHeight="1" x14ac:dyDescent="0.25">
      <c r="A26" s="88">
        <v>25</v>
      </c>
      <c r="B26" s="134" t="s">
        <v>1338</v>
      </c>
      <c r="C26" s="134"/>
      <c r="D26" s="94" t="s">
        <v>1302</v>
      </c>
      <c r="E26" s="88"/>
      <c r="F26" s="111" t="s">
        <v>1187</v>
      </c>
      <c r="G26" s="54"/>
      <c r="H26" s="54"/>
      <c r="I26" s="54"/>
      <c r="J26" s="111" t="s">
        <v>1897</v>
      </c>
      <c r="K26" s="111" t="s">
        <v>1142</v>
      </c>
      <c r="L26" s="111" t="s">
        <v>10</v>
      </c>
      <c r="M26" s="91"/>
      <c r="N26" s="111" t="s">
        <v>1138</v>
      </c>
      <c r="O26" s="111" t="s">
        <v>880</v>
      </c>
      <c r="P26" s="111" t="s">
        <v>349</v>
      </c>
      <c r="Q26" s="111" t="s">
        <v>303</v>
      </c>
      <c r="R26" s="111"/>
      <c r="S26" s="111" t="s">
        <v>1185</v>
      </c>
      <c r="T26" s="91"/>
      <c r="U26" s="91"/>
      <c r="V26" s="111" t="s">
        <v>1140</v>
      </c>
      <c r="W26" s="111" t="s">
        <v>1157</v>
      </c>
      <c r="Z26" s="111" t="s">
        <v>1192</v>
      </c>
      <c r="AA26" s="111" t="s">
        <v>1898</v>
      </c>
      <c r="AB26" s="111" t="s">
        <v>1189</v>
      </c>
      <c r="AC26" s="111"/>
      <c r="AD26" s="111"/>
      <c r="AE26" s="111" t="str">
        <f>CONCATENATE( C1,C26,CHAR(10), D1,D26,CHAR(10), E1,E26,CHAR(10), F1,F26,CHAR(10), G1,G26,CHAR(10), H1,H26,CHAR(10), I1,I26,CHAR(10), J1,J26,CHAR(10), K1,K26,CHAR(10), L1,L26,CHAR(10), M1,M26,CHAR(10), N1,N26,CHAR(10), O1,O26,CHAR(10), P1,P26,CHAR(10), Q1,Q26,CHAR(10), R1,R26,CHAR(10), S1,S26,CHAR(10), U1,U26,CHAR(10), V1,V26,CHAR(10), W1,W26,CHAR(10), X1,X26,CHAR(10), Y1,Y26,CHAR(10), Z1,Z26,CHAR(10), AA1,AA26,CHAR(10), AB1,AB26,CHAR(10), AC1,AC26,CHAR(10), AD1,AD26,CHAR(10), )</f>
        <v xml:space="preserve">Модель
Тип: Акустическая система активная
Мощность: 
Потребляемая мощностьдо 900 Вт
Диапазон частот: 
Частотный диапазон (-6дБ):
Частотный диапазон (-10дБ):
Воспроизводимая частота:45 Гц - 18ц (± 3 дБ)
Чувствительность: 98 дБ (1 Вт / 1 м)
Сопротивление: 8 Ом
Драйвер В.Ч.:
Коннектор: XLR-f/m
Номинальная мощность: 400 Вт
Максимальная мощность: 800 Вт
Мощность усилителя:500 Вт
Программная выходная мощность (PROGRAM):
Максимальное звуковое давление:126 дБ
тип динамиков
ВЧ динамик: 1.75”
НЧ динамик:15”
Динамик СЧ:
Угол раскрытия:
Размер: Ш450xВ700xГ360 мм
Вес: 18,5
Корпус: Высокопрочный пропилен
положение установки
Угол подвеска:
</v>
      </c>
      <c r="AF26" s="111"/>
      <c r="AG26" s="146">
        <v>19900</v>
      </c>
      <c r="AH26" s="114" t="s">
        <v>1191</v>
      </c>
      <c r="AK26" s="72" t="s">
        <v>1827</v>
      </c>
      <c r="AL26" s="72" t="str">
        <f t="shared" si="0"/>
        <v>MCF F-1501J(PL+) Акустическая система активная</v>
      </c>
      <c r="AM26" s="72" t="str">
        <f t="shared" si="1"/>
        <v>MCF F-1501J(PL+) Акустическая система активная</v>
      </c>
      <c r="AN26" s="72" t="s">
        <v>1840</v>
      </c>
      <c r="AO26" s="15"/>
      <c r="AP26" s="72" t="s">
        <v>1837</v>
      </c>
      <c r="AQ26" s="72" t="s">
        <v>1841</v>
      </c>
      <c r="AR26" s="72" t="s">
        <v>1842</v>
      </c>
      <c r="AS26" s="72" t="s">
        <v>1843</v>
      </c>
      <c r="AT26" s="72" t="s">
        <v>1844</v>
      </c>
      <c r="AU26" s="72" t="s">
        <v>1837</v>
      </c>
    </row>
    <row r="27" spans="1:47" ht="50.25" customHeight="1" x14ac:dyDescent="0.25">
      <c r="A27" s="88">
        <v>26</v>
      </c>
      <c r="B27" s="133" t="s">
        <v>1339</v>
      </c>
      <c r="C27" s="133"/>
      <c r="D27" s="94" t="s">
        <v>1302</v>
      </c>
      <c r="E27" s="111"/>
      <c r="F27" s="90" t="s">
        <v>1198</v>
      </c>
      <c r="G27" s="88"/>
      <c r="H27" s="88"/>
      <c r="I27" s="88"/>
      <c r="J27" s="90" t="s">
        <v>1888</v>
      </c>
      <c r="K27" s="90" t="s">
        <v>1142</v>
      </c>
      <c r="L27" s="90" t="s">
        <v>1193</v>
      </c>
      <c r="M27" s="91"/>
      <c r="N27" s="90" t="s">
        <v>1199</v>
      </c>
      <c r="O27" s="90" t="s">
        <v>1004</v>
      </c>
      <c r="P27" s="90" t="s">
        <v>1195</v>
      </c>
      <c r="Q27" s="90" t="s">
        <v>1194</v>
      </c>
      <c r="R27" s="90"/>
      <c r="S27" s="90" t="s">
        <v>1146</v>
      </c>
      <c r="T27" s="91"/>
      <c r="U27" s="91"/>
      <c r="V27" s="90" t="s">
        <v>1196</v>
      </c>
      <c r="W27" s="90" t="s">
        <v>1197</v>
      </c>
      <c r="Z27" s="90" t="s">
        <v>1200</v>
      </c>
      <c r="AA27" s="90" t="s">
        <v>1899</v>
      </c>
      <c r="AB27" s="90" t="s">
        <v>1189</v>
      </c>
      <c r="AC27" s="90"/>
      <c r="AD27" s="90"/>
      <c r="AE27" s="90" t="str">
        <f>CONCATENATE( C1,C27,CHAR(10), D1,D27,CHAR(10), E1,E27,CHAR(10), F1,F27,CHAR(10), G1,G27,CHAR(10), H1,H27,CHAR(10), I1,I27,CHAR(10), J1,J27,CHAR(10), K1,K27,CHAR(10), L1,L27,CHAR(10), M1,M27,CHAR(10), N1,N27,CHAR(10), O1,O27,CHAR(10), P1,P27,CHAR(10), Q1,Q27,CHAR(10), R1,R27,CHAR(10), S1,S27,CHAR(10), U1,U27,CHAR(10), V1,V27,CHAR(10), W1,W27,CHAR(10), X1,X27,CHAR(10), Y1,Y27,CHAR(10), Z1,Z27,CHAR(10), AA1,AA27,CHAR(10), AB1,AB27,CHAR(10), AC1,AC27,CHAR(10), AD1,AD27,CHAR(10), )</f>
        <v xml:space="preserve">Модель
Тип: Акустическая система активная
Мощность: 
Потребляемая мощность950/1900Вт
Диапазон частот: 
Частотный диапазон (-6дБ):
Частотный диапазон (-10дБ):
Воспроизводимая частота:40 Гц - 20ц (± 3 дБ)
Чувствительность: 98 дБ (1 Вт / 1 м)
Сопротивление: 8/4 Ом
Драйвер В.Ч.:
Коннектор: XLR-f/m, Speakon
Номинальная мощность: 450 Вт
Максимальная мощность: 900 Вт
Мощность усилителя:400/800 Вт
Программная выходная мощность (PROGRAM):
Максимальное звуковое давление:136 дБ
тип динамиков
ВЧ динамик: Неодим 1.75”
НЧ динамик:Неодим 15”
Динамик СЧ:
Угол раскрытия:
Размер: Ш420xВ700xГ385 мм
Вес: 20,8
Корпус: Высокопрочный пропилен
положение установки
Угол подвеска:
</v>
      </c>
      <c r="AF27" s="90"/>
      <c r="AG27" s="146">
        <v>24900</v>
      </c>
      <c r="AH27" s="89" t="s">
        <v>1191</v>
      </c>
      <c r="AK27" s="72" t="s">
        <v>1827</v>
      </c>
      <c r="AL27" s="72" t="str">
        <f t="shared" si="0"/>
        <v>MCF N-1501L (PL+) Акустическая система активная</v>
      </c>
      <c r="AM27" s="72" t="str">
        <f t="shared" si="1"/>
        <v>MCF N-1501L (PL+) Акустическая система активная</v>
      </c>
      <c r="AN27" s="72" t="s">
        <v>1840</v>
      </c>
      <c r="AO27" s="15"/>
      <c r="AP27" s="72" t="s">
        <v>1837</v>
      </c>
      <c r="AQ27" s="72" t="s">
        <v>1841</v>
      </c>
      <c r="AR27" s="72" t="s">
        <v>1842</v>
      </c>
      <c r="AS27" s="72" t="s">
        <v>1843</v>
      </c>
      <c r="AT27" s="72" t="s">
        <v>1844</v>
      </c>
      <c r="AU27" s="72" t="s">
        <v>1837</v>
      </c>
    </row>
    <row r="28" spans="1:47" ht="50.25" customHeight="1" x14ac:dyDescent="0.25">
      <c r="A28" s="88">
        <v>27</v>
      </c>
      <c r="B28" s="133" t="s">
        <v>1340</v>
      </c>
      <c r="C28" s="133"/>
      <c r="D28" s="104" t="s">
        <v>1797</v>
      </c>
      <c r="E28" s="108"/>
      <c r="F28" s="2"/>
      <c r="G28" s="88"/>
      <c r="H28" s="88"/>
      <c r="I28" s="88"/>
      <c r="J28" s="2" t="s">
        <v>1883</v>
      </c>
      <c r="K28" s="2" t="s">
        <v>1142</v>
      </c>
      <c r="L28" s="2" t="s">
        <v>10</v>
      </c>
      <c r="M28" s="91"/>
      <c r="N28" s="2" t="s">
        <v>1131</v>
      </c>
      <c r="O28" s="2" t="s">
        <v>307</v>
      </c>
      <c r="P28" s="2" t="s">
        <v>880</v>
      </c>
      <c r="Q28" s="91"/>
      <c r="R28" s="91"/>
      <c r="S28" s="2" t="s">
        <v>1148</v>
      </c>
      <c r="T28" s="91"/>
      <c r="U28" s="91"/>
      <c r="V28" s="2" t="s">
        <v>1134</v>
      </c>
      <c r="W28" s="2" t="s">
        <v>1141</v>
      </c>
      <c r="Z28" s="2" t="s">
        <v>1201</v>
      </c>
      <c r="AA28" s="2" t="s">
        <v>1900</v>
      </c>
      <c r="AB28" s="2"/>
      <c r="AC28" s="2"/>
      <c r="AD28" s="2"/>
      <c r="AE28" s="2" t="str">
        <f>CONCATENATE( C1,C28,CHAR(10), D1,D28,CHAR(10), E1,E28,CHAR(10), F1,F28,CHAR(10), G1,G28,CHAR(10), H1,H28,CHAR(10), I1,I28,CHAR(10), J1,J28,CHAR(10), K1,K28,CHAR(10), L1,L28,CHAR(10), M1,M28,CHAR(10), N1,N28,CHAR(10), O1,O28,CHAR(10), P1,P28,CHAR(10), Q1,Q28,CHAR(10), R1,R28,CHAR(10), S1,S28,CHAR(10), U1,U28,CHAR(10), V1,V28,CHAR(10), W1,W28,CHAR(10), X1,X28,CHAR(10), Y1,Y28,CHAR(10), Z1,Z28,CHAR(10), AA1,AA28,CHAR(10), AB1,AB28,CHAR(10), AC1,AC28,CHAR(10), AD1,AD28,CHAR(10), )</f>
        <v xml:space="preserve">Модель
Тип: Сабвуфер пассивный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
Коннектор: 2xСпикон
Номинальная мощность: 200 Вт
Максимальная мощность: 400 Вт
Мощность усилителя:
Программная выходная мощность (PROGRAM):
Максимальное звуковое давление:121 дБ
тип динамиков
ВЧ динамик: 1.35”
НЧ динамик:12”
Динамик СЧ:
Угол раскрытия:
Размер: 343x553x260 мм
Вес: 13,1
Корпус: 
положение установки
Угол подвеска:
</v>
      </c>
      <c r="AF28" s="2"/>
      <c r="AG28" s="89" t="s">
        <v>1852</v>
      </c>
      <c r="AH28" s="89" t="s">
        <v>1849</v>
      </c>
      <c r="AK28" s="72" t="s">
        <v>1827</v>
      </c>
      <c r="AL28" s="72" t="str">
        <f t="shared" si="0"/>
        <v>MCF F-1201JM Сабвуфер пассивный</v>
      </c>
      <c r="AM28" s="72" t="str">
        <f t="shared" si="1"/>
        <v>MCF F-1201JM Сабвуфер пассивный</v>
      </c>
      <c r="AN28" s="72" t="s">
        <v>1840</v>
      </c>
      <c r="AO28" s="15"/>
      <c r="AP28" s="72" t="s">
        <v>1837</v>
      </c>
      <c r="AQ28" s="72" t="s">
        <v>1841</v>
      </c>
      <c r="AR28" s="72" t="s">
        <v>1842</v>
      </c>
      <c r="AS28" s="72" t="s">
        <v>1843</v>
      </c>
      <c r="AT28" s="72" t="s">
        <v>1844</v>
      </c>
      <c r="AU28" s="72" t="s">
        <v>1837</v>
      </c>
    </row>
    <row r="29" spans="1:47" ht="50.25" customHeight="1" x14ac:dyDescent="0.25">
      <c r="A29" s="88">
        <v>28</v>
      </c>
      <c r="B29" s="133" t="s">
        <v>1341</v>
      </c>
      <c r="C29" s="133"/>
      <c r="D29" s="104" t="s">
        <v>1122</v>
      </c>
      <c r="E29" s="108"/>
      <c r="F29" s="2"/>
      <c r="G29" s="88"/>
      <c r="H29" s="88"/>
      <c r="I29" s="88"/>
      <c r="J29" s="2" t="s">
        <v>1883</v>
      </c>
      <c r="K29" s="2" t="s">
        <v>1142</v>
      </c>
      <c r="L29" s="2" t="s">
        <v>10</v>
      </c>
      <c r="M29" s="91"/>
      <c r="N29" s="2" t="s">
        <v>1131</v>
      </c>
      <c r="O29" s="2" t="s">
        <v>880</v>
      </c>
      <c r="P29" s="2" t="s">
        <v>349</v>
      </c>
      <c r="Q29" s="91"/>
      <c r="R29" s="91"/>
      <c r="S29" s="2" t="s">
        <v>1120</v>
      </c>
      <c r="T29" s="91"/>
      <c r="U29" s="91"/>
      <c r="V29" s="2" t="s">
        <v>1140</v>
      </c>
      <c r="W29" s="2" t="s">
        <v>1141</v>
      </c>
      <c r="Z29" s="2" t="s">
        <v>1201</v>
      </c>
      <c r="AA29" s="2" t="s">
        <v>1901</v>
      </c>
      <c r="AB29" s="2"/>
      <c r="AC29" s="2"/>
      <c r="AD29" s="2"/>
      <c r="AE29" s="2" t="str">
        <f>CONCATENATE( C1,C29,CHAR(10), D1,D29,CHAR(10), E1,E29,CHAR(10), F1,F29,CHAR(10), G1,G29,CHAR(10), H1,H29,CHAR(10), I1,I29,CHAR(10), J1,J29,CHAR(10), K1,K29,CHAR(10), L1,L29,CHAR(10), M1,M29,CHAR(10), N1,N29,CHAR(10), O1,O29,CHAR(10), P1,P29,CHAR(10), Q1,Q29,CHAR(10), R1,R29,CHAR(10), S1,S29,CHAR(10), U1,U29,CHAR(10), V1,V29,CHAR(10), W1,W29,CHAR(10), X1,X29,CHAR(10), Y1,Y29,CHAR(10), Z1,Z29,CHAR(10), AA1,AA29,CHAR(10), AB1,AB29,CHAR(10), AC1,AC29,CHAR(10), AD1,AD29,CHAR(10),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
Коннектор: 2xСпикон
Номинальная мощность: 400 Вт
Максимальная мощность: 800 Вт
Мощность усилителя:
Программная выходная мощность (PROGRAM):
Максимальное звуковое давление:125 дБ
тип динамиков
ВЧ динамик: 1.75”
НЧ динамик:12”
Динамик СЧ:
Угол раскрытия:
Размер: 343x553x260 мм
Вес: 13,6
Корпус: 
положение установки
Угол подвеска:
</v>
      </c>
      <c r="AF29" s="2"/>
      <c r="AG29" s="89" t="s">
        <v>1848</v>
      </c>
      <c r="AH29" s="89" t="s">
        <v>1850</v>
      </c>
      <c r="AK29" s="72" t="s">
        <v>1827</v>
      </c>
      <c r="AL29" s="72" t="str">
        <f t="shared" si="0"/>
        <v>MCF F-1201LM Акустическая система</v>
      </c>
      <c r="AM29" s="72" t="str">
        <f t="shared" si="1"/>
        <v>MCF F-1201LM Акустическая система</v>
      </c>
      <c r="AN29" s="72" t="s">
        <v>1840</v>
      </c>
      <c r="AO29" s="15"/>
      <c r="AP29" s="72" t="s">
        <v>1837</v>
      </c>
      <c r="AQ29" s="72" t="s">
        <v>1841</v>
      </c>
      <c r="AR29" s="72" t="s">
        <v>1842</v>
      </c>
      <c r="AS29" s="72" t="s">
        <v>1843</v>
      </c>
      <c r="AT29" s="72" t="s">
        <v>1844</v>
      </c>
      <c r="AU29" s="72" t="s">
        <v>1837</v>
      </c>
    </row>
    <row r="30" spans="1:47" ht="50.25" customHeight="1" x14ac:dyDescent="0.25">
      <c r="A30" s="88">
        <v>29</v>
      </c>
      <c r="B30" s="133" t="s">
        <v>1342</v>
      </c>
      <c r="C30" s="133"/>
      <c r="D30" s="104" t="s">
        <v>1122</v>
      </c>
      <c r="E30" s="108"/>
      <c r="F30" s="2"/>
      <c r="G30" s="88"/>
      <c r="H30" s="88"/>
      <c r="I30" s="88"/>
      <c r="J30" s="2" t="s">
        <v>1883</v>
      </c>
      <c r="K30" s="2" t="s">
        <v>1142</v>
      </c>
      <c r="L30" s="2" t="s">
        <v>10</v>
      </c>
      <c r="M30" s="91"/>
      <c r="N30" s="2" t="s">
        <v>1131</v>
      </c>
      <c r="O30" s="2" t="s">
        <v>587</v>
      </c>
      <c r="P30" s="2" t="s">
        <v>345</v>
      </c>
      <c r="Q30" s="91"/>
      <c r="R30" s="91"/>
      <c r="S30" s="2" t="s">
        <v>1146</v>
      </c>
      <c r="T30" s="91"/>
      <c r="U30" s="91"/>
      <c r="V30" s="2" t="s">
        <v>1134</v>
      </c>
      <c r="W30" s="2" t="s">
        <v>1141</v>
      </c>
      <c r="Z30" s="2" t="s">
        <v>1201</v>
      </c>
      <c r="AA30" s="2" t="s">
        <v>1901</v>
      </c>
      <c r="AB30" s="2"/>
      <c r="AC30" s="2"/>
      <c r="AD30" s="2"/>
      <c r="AE30" s="2" t="str">
        <f>CONCATENATE( C1,C30,CHAR(10), D1,D30,CHAR(10), E1,E30,CHAR(10), F1,F30,CHAR(10), G1,G30,CHAR(10), H1,H30,CHAR(10), I1,I30,CHAR(10), J1,J30,CHAR(10), K1,K30,CHAR(10), L1,L30,CHAR(10), M1,M30,CHAR(10), N1,N30,CHAR(10), O1,O30,CHAR(10), P1,P30,CHAR(10), Q1,Q30,CHAR(10), R1,R30,CHAR(10), S1,S30,CHAR(10), U1,U30,CHAR(10), V1,V30,CHAR(10), W1,W30,CHAR(10), X1,X30,CHAR(10), Y1,Y30,CHAR(10), Z1,Z30,CHAR(10), AA1,AA30,CHAR(10), AB1,AB30,CHAR(10), AC1,AC30,CHAR(10), AD1,AD30,CHAR(10),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
Коннектор: 2xСпикон
Номинальная мощность: 350 Вт
Максимальная мощность: 1000 Вт
Мощность усилителя:
Программная выходная мощность (PROGRAM):
Максимальное звуковое давление:136 дБ
тип динамиков
ВЧ динамик: 1.35”
НЧ динамик:12”
Динамик СЧ:
Угол раскрытия:
Размер: 343x553x260 мм
Вес: 13,6
Корпус: 
положение установки
Угол подвеска:
</v>
      </c>
      <c r="AF30" s="2"/>
      <c r="AG30" s="89" t="s">
        <v>1922</v>
      </c>
      <c r="AH30" s="89" t="s">
        <v>1927</v>
      </c>
      <c r="AK30" s="72" t="s">
        <v>1827</v>
      </c>
      <c r="AL30" s="72" t="str">
        <f t="shared" si="0"/>
        <v>MCF N-1201LM Акустическая система</v>
      </c>
      <c r="AM30" s="72" t="str">
        <f t="shared" si="1"/>
        <v>MCF N-1201LM Акустическая система</v>
      </c>
      <c r="AN30" s="72" t="s">
        <v>1840</v>
      </c>
      <c r="AO30" s="15"/>
      <c r="AP30" s="72" t="s">
        <v>1837</v>
      </c>
      <c r="AQ30" s="72" t="s">
        <v>1841</v>
      </c>
      <c r="AR30" s="72" t="s">
        <v>1842</v>
      </c>
      <c r="AS30" s="72" t="s">
        <v>1843</v>
      </c>
      <c r="AT30" s="72" t="s">
        <v>1844</v>
      </c>
      <c r="AU30" s="72" t="s">
        <v>1837</v>
      </c>
    </row>
    <row r="31" spans="1:47" ht="50.25" customHeight="1" x14ac:dyDescent="0.25">
      <c r="A31" s="88">
        <v>30</v>
      </c>
      <c r="B31" s="133" t="s">
        <v>1340</v>
      </c>
      <c r="C31" s="133"/>
      <c r="D31" s="104" t="s">
        <v>1122</v>
      </c>
      <c r="E31" s="108"/>
      <c r="F31" s="2"/>
      <c r="G31" s="88"/>
      <c r="H31" s="88"/>
      <c r="I31" s="88"/>
      <c r="J31" s="2" t="s">
        <v>1883</v>
      </c>
      <c r="K31" s="2" t="s">
        <v>1142</v>
      </c>
      <c r="L31" s="2" t="s">
        <v>10</v>
      </c>
      <c r="M31" s="91"/>
      <c r="N31" s="2" t="s">
        <v>1131</v>
      </c>
      <c r="O31" s="2" t="s">
        <v>307</v>
      </c>
      <c r="P31" s="2" t="s">
        <v>880</v>
      </c>
      <c r="Q31" s="91"/>
      <c r="R31" s="91"/>
      <c r="S31" s="2" t="s">
        <v>1148</v>
      </c>
      <c r="T31" s="91"/>
      <c r="U31" s="91"/>
      <c r="V31" s="2" t="s">
        <v>1134</v>
      </c>
      <c r="W31" s="2" t="s">
        <v>1141</v>
      </c>
      <c r="Z31" s="2" t="s">
        <v>1201</v>
      </c>
      <c r="AA31" s="2" t="s">
        <v>1900</v>
      </c>
      <c r="AB31" s="2"/>
      <c r="AC31" s="2"/>
      <c r="AD31" s="2"/>
      <c r="AE31" s="2" t="str">
        <f>CONCATENATE( C1,C31,CHAR(10), D1,D31,CHAR(10), E1,E31,CHAR(10), F1,F31,CHAR(10), G1,G31,CHAR(10), H1,H31,CHAR(10), I1,I31,CHAR(10), J1,J31,CHAR(10), K1,K31,CHAR(10), L1,L31,CHAR(10), M1,M31,CHAR(10), N1,N31,CHAR(10), O1,O31,CHAR(10), P1,P31,CHAR(10), Q1,Q31,CHAR(10), R1,R31,CHAR(10), S1,S31,CHAR(10), U1,U31,CHAR(10), V1,V31,CHAR(10), W1,W31,CHAR(10), X1,X31,CHAR(10), Y1,Y31,CHAR(10), Z1,Z31,CHAR(10), AA1,AA31,CHAR(10), AB1,AB31,CHAR(10), AC1,AC31,CHAR(10), AD1,AD31,CHAR(10), )</f>
        <v xml:space="preserve">Модель
Тип: Акустическая система
Мощность: 
Потребляемая мощность
Диапазон частот: 
Частотный диапазон (-6дБ):
Частотный диапазон (-10дБ):
Воспроизводимая частота:55 Гц - 20ц (± 3 дБ)
Чувствительность: 98 дБ (1 Вт / 1 м)
Сопротивление: 8 Ом
Драйвер В.Ч.:
Коннектор: 2xСпикон
Номинальная мощность: 200 Вт
Максимальная мощность: 400 Вт
Мощность усилителя:
Программная выходная мощность (PROGRAM):
Максимальное звуковое давление:121 дБ
тип динамиков
ВЧ динамик: 1.35”
НЧ динамик:12”
Динамик СЧ:
Угол раскрытия:
Размер: 343x553x260 мм
Вес: 13,1
Корпус: 
положение установки
Угол подвеска:
</v>
      </c>
      <c r="AF31" s="2"/>
      <c r="AG31" s="89" t="s">
        <v>1852</v>
      </c>
      <c r="AH31" s="89" t="s">
        <v>1849</v>
      </c>
      <c r="AK31" s="72" t="s">
        <v>1827</v>
      </c>
      <c r="AL31" s="72" t="str">
        <f t="shared" si="0"/>
        <v>MCF F-1201JM Акустическая система</v>
      </c>
      <c r="AM31" s="72" t="str">
        <f t="shared" si="1"/>
        <v>MCF F-1201JM Акустическая система</v>
      </c>
      <c r="AN31" s="72" t="s">
        <v>1840</v>
      </c>
      <c r="AO31" s="15"/>
      <c r="AP31" s="72" t="s">
        <v>1837</v>
      </c>
      <c r="AQ31" s="72" t="s">
        <v>1841</v>
      </c>
      <c r="AR31" s="72" t="s">
        <v>1842</v>
      </c>
      <c r="AS31" s="72" t="s">
        <v>1843</v>
      </c>
      <c r="AT31" s="72" t="s">
        <v>1844</v>
      </c>
      <c r="AU31" s="72" t="s">
        <v>1837</v>
      </c>
    </row>
    <row r="32" spans="1:47" ht="50.25" customHeight="1" x14ac:dyDescent="0.25">
      <c r="A32" s="88">
        <v>31</v>
      </c>
      <c r="B32" s="133" t="s">
        <v>1319</v>
      </c>
      <c r="C32" s="133"/>
      <c r="D32" s="94" t="s">
        <v>1202</v>
      </c>
      <c r="E32" s="88"/>
      <c r="F32" s="90"/>
      <c r="G32" s="88"/>
      <c r="H32" s="88"/>
      <c r="I32" s="88"/>
      <c r="J32" s="105" t="s">
        <v>1203</v>
      </c>
      <c r="K32" s="105" t="s">
        <v>1142</v>
      </c>
      <c r="L32" s="105" t="s">
        <v>10</v>
      </c>
      <c r="N32" s="105" t="s">
        <v>1131</v>
      </c>
      <c r="O32" s="105" t="s">
        <v>345</v>
      </c>
      <c r="P32" s="105" t="s">
        <v>1204</v>
      </c>
      <c r="S32" s="105" t="s">
        <v>1160</v>
      </c>
      <c r="W32" s="105" t="s">
        <v>1205</v>
      </c>
      <c r="Z32" s="105" t="s">
        <v>1206</v>
      </c>
      <c r="AA32" s="105">
        <v>40</v>
      </c>
      <c r="AB32" s="89"/>
      <c r="AC32" s="89"/>
      <c r="AD32" s="89"/>
      <c r="AE32" s="89" t="str">
        <f>CONCATENATE( C1,C32,CHAR(10), D1,D32,CHAR(10), E1,E32,CHAR(10), F1,F32,CHAR(10), G1,G32,CHAR(10), H1,H32,CHAR(10), I1,I32,CHAR(10), J1,J32,CHAR(10), K1,K32,CHAR(10), L1,L32,CHAR(10), M1,M32,CHAR(10), N1,N32,CHAR(10), O1,O32,CHAR(10), P1,P32,CHAR(10), Q1,Q32,CHAR(10), R1,R32,CHAR(10), S1,S32,CHAR(10), U1,U32,CHAR(10), V1,V32,CHAR(10), W1,W32,CHAR(10), X1,X32,CHAR(10), Y1,Y32,CHAR(10), Z1,Z32,CHAR(10), AA1,AA32,CHAR(10), AB1,AB32,CHAR(10), AC1,AC32,CHAR(10), AD1,AD32,CHAR(10),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1000 Вт
Максимальная мощность: 2000 Вт
Мощность усилителя:
Программная выходная мощность (PROGRAM):
Максимальное звуковое давление:132 дБ
тип динамиков
ВЧ динамик: 
НЧ динамик:18”
Динамик СЧ:
Угол раскрытия:
Размер: 580x487x670 мм
Вес: 40
Корпус: 
положение установки
Угол подвеска:
</v>
      </c>
      <c r="AF32" s="89"/>
      <c r="AG32" s="146">
        <v>37900</v>
      </c>
      <c r="AH32" s="146">
        <v>69900</v>
      </c>
      <c r="AK32" s="72" t="s">
        <v>1827</v>
      </c>
      <c r="AL32" s="72" t="str">
        <f t="shared" si="0"/>
        <v>MCF SPF-1801L Сабвуфер</v>
      </c>
      <c r="AM32" s="72" t="str">
        <f t="shared" si="1"/>
        <v>MCF SPF-1801L Сабвуфер</v>
      </c>
      <c r="AN32" s="72" t="s">
        <v>1840</v>
      </c>
      <c r="AO32" s="15"/>
      <c r="AP32" s="72" t="s">
        <v>1837</v>
      </c>
      <c r="AQ32" s="72" t="s">
        <v>1841</v>
      </c>
      <c r="AR32" s="72" t="s">
        <v>1842</v>
      </c>
      <c r="AS32" s="72" t="s">
        <v>1843</v>
      </c>
      <c r="AT32" s="72" t="s">
        <v>1844</v>
      </c>
      <c r="AU32" s="72" t="s">
        <v>1837</v>
      </c>
    </row>
    <row r="33" spans="1:47" ht="50.25" customHeight="1" x14ac:dyDescent="0.25">
      <c r="A33" s="88">
        <v>32</v>
      </c>
      <c r="B33" s="133" t="s">
        <v>1343</v>
      </c>
      <c r="C33" s="133"/>
      <c r="D33" s="94" t="s">
        <v>1202</v>
      </c>
      <c r="E33" s="88"/>
      <c r="F33" s="90"/>
      <c r="G33" s="88"/>
      <c r="H33" s="88"/>
      <c r="I33" s="88"/>
      <c r="J33" s="105" t="s">
        <v>1203</v>
      </c>
      <c r="K33" s="105" t="s">
        <v>1142</v>
      </c>
      <c r="L33" s="105" t="s">
        <v>10</v>
      </c>
      <c r="N33" s="105" t="s">
        <v>1131</v>
      </c>
      <c r="O33" s="105" t="s">
        <v>339</v>
      </c>
      <c r="P33" s="105" t="s">
        <v>1207</v>
      </c>
      <c r="S33" s="105" t="s">
        <v>1160</v>
      </c>
      <c r="W33" s="105" t="s">
        <v>1205</v>
      </c>
      <c r="Z33" s="105" t="s">
        <v>1208</v>
      </c>
      <c r="AA33" s="105">
        <v>36</v>
      </c>
      <c r="AB33" s="89"/>
      <c r="AC33" s="89"/>
      <c r="AD33" s="89"/>
      <c r="AE33" s="89" t="str">
        <f>CONCATENATE( C1,C33,CHAR(10), D1,D33,CHAR(10), E1,E33,CHAR(10), F1,F33,CHAR(10), G1,G33,CHAR(10), H1,H33,CHAR(10), I1,I33,CHAR(10), J1,J33,CHAR(10), K1,K33,CHAR(10), L1,L33,CHAR(10), M1,M33,CHAR(10), N1,N33,CHAR(10), O1,O33,CHAR(10), P1,P33,CHAR(10), Q1,Q33,CHAR(10), R1,R33,CHAR(10), S1,S33,CHAR(10), U1,U33,CHAR(10), V1,V33,CHAR(10), W1,W33,CHAR(10), X1,X33,CHAR(10), Y1,Y33,CHAR(10), Z1,Z33,CHAR(10), AA1,AA33,CHAR(10), AB1,AB33,CHAR(10), AC1,AC33,CHAR(10), AD1,AD33,CHAR(10),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1200 Вт
Максимальная мощность: 3000 Вт
Мощность усилителя:
Программная выходная мощность (PROGRAM):
Максимальное звуковое давление:132 дБ
тип динамиков
ВЧ динамик: 
НЧ динамик:18”
Динамик СЧ:
Угол раскрытия:
Размер: 580x500x670 мм
Вес: 36
Корпус: 
положение установки
Угол подвеска:
</v>
      </c>
      <c r="AF33" s="89"/>
      <c r="AG33" s="89" t="s">
        <v>1934</v>
      </c>
      <c r="AH33" s="146">
        <v>79900</v>
      </c>
      <c r="AK33" s="72" t="s">
        <v>1827</v>
      </c>
      <c r="AL33" s="72" t="str">
        <f t="shared" si="0"/>
        <v>MCF SPF-1801LNEXT Сабвуфер</v>
      </c>
      <c r="AM33" s="72" t="str">
        <f t="shared" si="1"/>
        <v>MCF SPF-1801LNEXT Сабвуфер</v>
      </c>
      <c r="AN33" s="72" t="s">
        <v>1840</v>
      </c>
      <c r="AO33" s="15"/>
      <c r="AP33" s="72" t="s">
        <v>1837</v>
      </c>
      <c r="AQ33" s="72" t="s">
        <v>1841</v>
      </c>
      <c r="AR33" s="72" t="s">
        <v>1842</v>
      </c>
      <c r="AS33" s="72" t="s">
        <v>1843</v>
      </c>
      <c r="AT33" s="72" t="s">
        <v>1844</v>
      </c>
      <c r="AU33" s="72" t="s">
        <v>1837</v>
      </c>
    </row>
    <row r="34" spans="1:47" ht="50.25" customHeight="1" x14ac:dyDescent="0.25">
      <c r="A34" s="88">
        <v>33</v>
      </c>
      <c r="B34" s="133" t="s">
        <v>1320</v>
      </c>
      <c r="C34" s="133"/>
      <c r="D34" s="94" t="s">
        <v>1202</v>
      </c>
      <c r="E34" s="88"/>
      <c r="F34" s="90"/>
      <c r="G34" s="88"/>
      <c r="H34" s="88"/>
      <c r="I34" s="88"/>
      <c r="J34" s="105" t="s">
        <v>1203</v>
      </c>
      <c r="K34" s="105" t="s">
        <v>1142</v>
      </c>
      <c r="L34" s="105" t="s">
        <v>1209</v>
      </c>
      <c r="N34" s="105" t="s">
        <v>1131</v>
      </c>
      <c r="O34" s="105" t="s">
        <v>345</v>
      </c>
      <c r="P34" s="105" t="s">
        <v>1204</v>
      </c>
      <c r="S34" s="105" t="s">
        <v>1160</v>
      </c>
      <c r="W34" s="105" t="s">
        <v>1205</v>
      </c>
      <c r="Z34" s="105" t="s">
        <v>1210</v>
      </c>
      <c r="AA34" s="105" t="s">
        <v>1902</v>
      </c>
      <c r="AB34" s="89"/>
      <c r="AC34" s="89"/>
      <c r="AD34" s="89"/>
      <c r="AE34" s="89" t="str">
        <f>CONCATENATE( C1,C34,CHAR(10), D1,D34,CHAR(10), E1,E34,CHAR(10), F1,F34,CHAR(10), G1,G34,CHAR(10), H1,H34,CHAR(10), I1,I34,CHAR(10), J1,J34,CHAR(10), K1,K34,CHAR(10), L1,L34,CHAR(10), M1,M34,CHAR(10), N1,N34,CHAR(10), O1,O34,CHAR(10), P1,P34,CHAR(10), Q1,Q34,CHAR(10), R1,R34,CHAR(10), S1,S34,CHAR(10), U1,U34,CHAR(10), V1,V34,CHAR(10), W1,W34,CHAR(10), X1,X34,CHAR(10), Y1,Y34,CHAR(10), Z1,Z34,CHAR(10), AA1,AA34,CHAR(10), AB1,AB34,CHAR(10), AC1,AC34,CHAR(10), AD1,AD34,CHAR(10),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 
Драйвер В.Ч.:
Коннектор: 2xСпикон
Номинальная мощность: 1000 Вт
Максимальная мощность: 2000 Вт
Мощность усилителя:
Программная выходная мощность (PROGRAM):
Максимальное звуковое давление:132 дБ
тип динамиков
ВЧ динамик: 
НЧ динамик:18”
Динамик СЧ:
Угол раскрытия:
Размер: 534x590x590 мм
Вес: 44,5
Корпус: 
положение установки
Угол подвеска:
</v>
      </c>
      <c r="AF34" s="89"/>
      <c r="AG34" s="89" t="s">
        <v>1927</v>
      </c>
      <c r="AH34" s="146">
        <v>109900</v>
      </c>
      <c r="AK34" s="72" t="s">
        <v>1827</v>
      </c>
      <c r="AL34" s="72" t="str">
        <f t="shared" si="0"/>
        <v>MCF SBF-1801L Сабвуфер</v>
      </c>
      <c r="AM34" s="72" t="str">
        <f t="shared" si="1"/>
        <v>MCF SBF-1801L Сабвуфер</v>
      </c>
      <c r="AN34" s="72" t="s">
        <v>1840</v>
      </c>
      <c r="AO34" s="15"/>
      <c r="AP34" s="72" t="s">
        <v>1837</v>
      </c>
      <c r="AQ34" s="72" t="s">
        <v>1841</v>
      </c>
      <c r="AR34" s="72" t="s">
        <v>1842</v>
      </c>
      <c r="AS34" s="72" t="s">
        <v>1843</v>
      </c>
      <c r="AT34" s="72" t="s">
        <v>1844</v>
      </c>
      <c r="AU34" s="72" t="s">
        <v>1837</v>
      </c>
    </row>
    <row r="35" spans="1:47" ht="50.25" customHeight="1" x14ac:dyDescent="0.25">
      <c r="A35" s="88">
        <v>34</v>
      </c>
      <c r="B35" s="133" t="s">
        <v>1344</v>
      </c>
      <c r="C35" s="133"/>
      <c r="D35" s="94" t="s">
        <v>1202</v>
      </c>
      <c r="E35" s="88"/>
      <c r="F35" s="90"/>
      <c r="G35" s="88"/>
      <c r="H35" s="88"/>
      <c r="I35" s="88"/>
      <c r="J35" s="105" t="s">
        <v>1203</v>
      </c>
      <c r="K35" s="105" t="s">
        <v>1142</v>
      </c>
      <c r="L35" s="105" t="s">
        <v>10</v>
      </c>
      <c r="N35" s="105" t="s">
        <v>1131</v>
      </c>
      <c r="O35" s="105" t="s">
        <v>339</v>
      </c>
      <c r="P35" s="105" t="s">
        <v>1211</v>
      </c>
      <c r="S35" s="105" t="s">
        <v>1160</v>
      </c>
      <c r="W35" s="105" t="s">
        <v>1205</v>
      </c>
      <c r="Z35" s="105" t="s">
        <v>1210</v>
      </c>
      <c r="AA35" s="105" t="s">
        <v>1902</v>
      </c>
      <c r="AB35" s="89"/>
      <c r="AC35" s="89"/>
      <c r="AD35" s="89"/>
      <c r="AE35" s="89" t="str">
        <f>CONCATENATE( C1,C35,CHAR(10), D1,D35,CHAR(10), E1,E35,CHAR(10), F1,F35,CHAR(10), G1,G35,CHAR(10), H1,H35,CHAR(10), I1,I35,CHAR(10), J1,J35,CHAR(10), K1,K35,CHAR(10), L1,L35,CHAR(10), M1,M35,CHAR(10), N1,N35,CHAR(10), O1,O35,CHAR(10), P1,P35,CHAR(10), Q1,Q35,CHAR(10), R1,R35,CHAR(10), S1,S35,CHAR(10), U1,U35,CHAR(10), V1,V35,CHAR(10), W1,W35,CHAR(10), X1,X35,CHAR(10), Y1,Y35,CHAR(10), Z1,Z35,CHAR(10), AA1,AA35,CHAR(10), AB1,AB35,CHAR(10), AC1,AC35,CHAR(10), AD1,AD35,CHAR(10),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1200 Вт
Максимальная мощность: 2400 Вт
Мощность усилителя:
Программная выходная мощность (PROGRAM):
Максимальное звуковое давление:132 дБ
тип динамиков
ВЧ динамик: 
НЧ динамик:18”
Динамик СЧ:
Угол раскрытия:
Размер: 534x590x590 мм
Вес: 44,5
Корпус: 
положение установки
Угол подвеска:
</v>
      </c>
      <c r="AF35" s="89"/>
      <c r="AG35" s="89" t="s">
        <v>1846</v>
      </c>
      <c r="AH35" s="89" t="s">
        <v>1935</v>
      </c>
      <c r="AK35" s="72" t="s">
        <v>1827</v>
      </c>
      <c r="AL35" s="72" t="str">
        <f t="shared" si="0"/>
        <v>MCF SBF-1801LNEXT Сабвуфер</v>
      </c>
      <c r="AM35" s="72" t="str">
        <f t="shared" si="1"/>
        <v>MCF SBF-1801LNEXT Сабвуфер</v>
      </c>
      <c r="AN35" s="72" t="s">
        <v>1840</v>
      </c>
      <c r="AO35" s="15"/>
      <c r="AP35" s="72" t="s">
        <v>1837</v>
      </c>
      <c r="AQ35" s="72" t="s">
        <v>1841</v>
      </c>
      <c r="AR35" s="72" t="s">
        <v>1842</v>
      </c>
      <c r="AS35" s="72" t="s">
        <v>1843</v>
      </c>
      <c r="AT35" s="72" t="s">
        <v>1844</v>
      </c>
      <c r="AU35" s="72" t="s">
        <v>1837</v>
      </c>
    </row>
    <row r="36" spans="1:47" ht="50.25" customHeight="1" x14ac:dyDescent="0.25">
      <c r="A36" s="88">
        <v>35</v>
      </c>
      <c r="B36" s="133" t="s">
        <v>1345</v>
      </c>
      <c r="C36" s="133"/>
      <c r="D36" s="94" t="s">
        <v>1202</v>
      </c>
      <c r="E36" s="88"/>
      <c r="F36" s="2"/>
      <c r="G36" s="95"/>
      <c r="H36" s="95"/>
      <c r="I36" s="95"/>
      <c r="J36" s="108" t="s">
        <v>1203</v>
      </c>
      <c r="K36" s="108" t="s">
        <v>1142</v>
      </c>
      <c r="L36" s="108" t="s">
        <v>1212</v>
      </c>
      <c r="N36" s="108" t="s">
        <v>1131</v>
      </c>
      <c r="O36" s="108" t="s">
        <v>1213</v>
      </c>
      <c r="P36" s="108" t="s">
        <v>1214</v>
      </c>
      <c r="S36" s="108" t="s">
        <v>1160</v>
      </c>
      <c r="W36" s="108" t="s">
        <v>1215</v>
      </c>
      <c r="Z36" s="105" t="s">
        <v>1216</v>
      </c>
      <c r="AA36" s="105">
        <v>82</v>
      </c>
      <c r="AE36" s="88" t="str">
        <f>CONCATENATE( C1,C36,CHAR(10), D1,D36,CHAR(10), E1,E36,CHAR(10), F1,F36,CHAR(10), G1,G36,CHAR(10), H1,H36,CHAR(10), I1,I36,CHAR(10), J1,J36,CHAR(10), K1,K36,CHAR(10), L1,L36,CHAR(10), M1,M36,CHAR(10), N1,N36,CHAR(10), O1,O36,CHAR(10), P1,P36,CHAR(10), Q1,Q36,CHAR(10), R1,R36,CHAR(10), S1,S36,CHAR(10), U1,U36,CHAR(10), V1,V36,CHAR(10), W1,W36,CHAR(10), X1,X36,CHAR(10), Y1,Y36,CHAR(10), Z1,Z36,CHAR(10), AA1,AA36,CHAR(10), AB1,AB36,CHAR(10), AC1,AC36,CHAR(10), AD1,AD36,CHAR(10),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2xСпикон
Номинальная мощность: 1800 Вт
Максимальная мощность: 3600 Вт
Мощность усилителя:
Программная выходная мощность (PROGRAM):
Максимальное звуковое давление:132 дБ
тип динамиков
ВЧ динамик: 
НЧ динамик:18”x2
Динамик СЧ:
Угол раскрытия:
Размер: 960x590x590 мм
Вес: 82
Корпус: 
положение установки
Угол подвеска:
</v>
      </c>
      <c r="AH36" s="95" t="s">
        <v>1936</v>
      </c>
      <c r="AK36" s="72" t="s">
        <v>1827</v>
      </c>
      <c r="AL36" s="72" t="str">
        <f t="shared" si="0"/>
        <v>MCF SBF-1802L (1800) Сабвуфер</v>
      </c>
      <c r="AM36" s="72" t="str">
        <f t="shared" si="1"/>
        <v>MCF SBF-1802L (1800) Сабвуфер</v>
      </c>
      <c r="AN36" s="72" t="s">
        <v>1840</v>
      </c>
      <c r="AO36" s="15"/>
      <c r="AP36" s="72" t="s">
        <v>1837</v>
      </c>
      <c r="AQ36" s="72" t="s">
        <v>1841</v>
      </c>
      <c r="AR36" s="72" t="s">
        <v>1842</v>
      </c>
      <c r="AS36" s="72" t="s">
        <v>1843</v>
      </c>
      <c r="AT36" s="72" t="s">
        <v>1844</v>
      </c>
      <c r="AU36" s="72" t="s">
        <v>1837</v>
      </c>
    </row>
    <row r="37" spans="1:47" ht="50.25" customHeight="1" x14ac:dyDescent="0.25">
      <c r="A37" s="88">
        <v>36</v>
      </c>
      <c r="B37" s="133" t="s">
        <v>1321</v>
      </c>
      <c r="C37" s="133"/>
      <c r="D37" s="94" t="s">
        <v>1202</v>
      </c>
      <c r="E37" s="88"/>
      <c r="F37" s="90"/>
      <c r="G37" s="88"/>
      <c r="H37" s="88"/>
      <c r="I37" s="88"/>
      <c r="J37" s="105" t="s">
        <v>1203</v>
      </c>
      <c r="K37" s="105" t="s">
        <v>1142</v>
      </c>
      <c r="L37" s="105" t="s">
        <v>1212</v>
      </c>
      <c r="N37" s="105" t="s">
        <v>1131</v>
      </c>
      <c r="O37" s="105" t="s">
        <v>1204</v>
      </c>
      <c r="P37" s="105" t="s">
        <v>1217</v>
      </c>
      <c r="S37" s="105" t="s">
        <v>1160</v>
      </c>
      <c r="W37" s="105" t="s">
        <v>1215</v>
      </c>
      <c r="Z37" s="105" t="s">
        <v>1216</v>
      </c>
      <c r="AA37" s="105">
        <v>82</v>
      </c>
      <c r="AB37" s="89"/>
      <c r="AC37" s="89"/>
      <c r="AD37" s="89"/>
      <c r="AE37" s="89" t="str">
        <f>CONCATENATE( C1,C37,CHAR(10), D1,D37,CHAR(10), E1,E37,CHAR(10), F1,F37,CHAR(10), G1,G37,CHAR(10), H1,H37,CHAR(10), I1,I37,CHAR(10), J1,J37,CHAR(10), K1,K37,CHAR(10), L1,L37,CHAR(10), M1,M37,CHAR(10), N1,N37,CHAR(10), O1,O37,CHAR(10), P1,P37,CHAR(10), Q1,Q37,CHAR(10), R1,R37,CHAR(10), S1,S37,CHAR(10), U1,U37,CHAR(10), V1,V37,CHAR(10), W1,W37,CHAR(10), X1,X37,CHAR(10), Y1,Y37,CHAR(10), Z1,Z37,CHAR(10), AA1,AA37,CHAR(10), AB1,AB37,CHAR(10), AC1,AC37,CHAR(10), AD1,AD37,CHAR(10),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2xСпикон
Номинальная мощность: 2000 Вт
Максимальная мощность: 4000 Вт
Мощность усилителя:
Программная выходная мощность (PROGRAM):
Максимальное звуковое давление:132 дБ
тип динамиков
ВЧ динамик: 
НЧ динамик:18”x2
Динамик СЧ:
Угол раскрытия:
Размер: 960x590x590 мм
Вес: 82
Корпус: 
положение установки
Угол подвеска:
</v>
      </c>
      <c r="AF37" s="89"/>
      <c r="AG37" s="89" t="s">
        <v>1847</v>
      </c>
      <c r="AH37" s="89" t="s">
        <v>1937</v>
      </c>
      <c r="AK37" s="72" t="s">
        <v>1827</v>
      </c>
      <c r="AL37" s="72" t="str">
        <f t="shared" si="0"/>
        <v>MCF SBF-1802L (2000) Сабвуфер</v>
      </c>
      <c r="AM37" s="72" t="str">
        <f t="shared" si="1"/>
        <v>MCF SBF-1802L (2000) Сабвуфер</v>
      </c>
      <c r="AN37" s="72" t="s">
        <v>1840</v>
      </c>
      <c r="AO37" s="15"/>
      <c r="AP37" s="72" t="s">
        <v>1837</v>
      </c>
      <c r="AQ37" s="72" t="s">
        <v>1841</v>
      </c>
      <c r="AR37" s="72" t="s">
        <v>1842</v>
      </c>
      <c r="AS37" s="72" t="s">
        <v>1843</v>
      </c>
      <c r="AT37" s="72" t="s">
        <v>1844</v>
      </c>
      <c r="AU37" s="72" t="s">
        <v>1837</v>
      </c>
    </row>
    <row r="38" spans="1:47" ht="50.25" customHeight="1" x14ac:dyDescent="0.25">
      <c r="A38" s="88">
        <v>37</v>
      </c>
      <c r="B38" s="133" t="s">
        <v>1346</v>
      </c>
      <c r="C38" s="133"/>
      <c r="D38" s="94" t="s">
        <v>1202</v>
      </c>
      <c r="E38" s="88"/>
      <c r="F38" s="90"/>
      <c r="G38" s="88"/>
      <c r="H38" s="88"/>
      <c r="I38" s="88"/>
      <c r="J38" s="105" t="s">
        <v>1203</v>
      </c>
      <c r="K38" s="105" t="s">
        <v>1142</v>
      </c>
      <c r="L38" s="105" t="s">
        <v>1212</v>
      </c>
      <c r="N38" s="105" t="s">
        <v>1131</v>
      </c>
      <c r="O38" s="105" t="s">
        <v>1211</v>
      </c>
      <c r="P38" s="105" t="s">
        <v>1218</v>
      </c>
      <c r="S38" s="105" t="s">
        <v>1158</v>
      </c>
      <c r="W38" s="105" t="s">
        <v>1215</v>
      </c>
      <c r="Z38" s="105" t="s">
        <v>1219</v>
      </c>
      <c r="AA38" s="105">
        <v>85</v>
      </c>
      <c r="AB38" s="89"/>
      <c r="AC38" s="89"/>
      <c r="AD38" s="89"/>
      <c r="AE38" s="89" t="str">
        <f>CONCATENATE( C1,C38,CHAR(10), D1,D38,CHAR(10), E1,E38,CHAR(10), F1,F38,CHAR(10), G1,G38,CHAR(10), H1,H38,CHAR(10), I1,I38,CHAR(10), J1,J38,CHAR(10), K1,K38,CHAR(10), L1,L38,CHAR(10), M1,M38,CHAR(10), N1,N38,CHAR(10), O1,O38,CHAR(10), P1,P38,CHAR(10), Q1,Q38,CHAR(10), R1,R38,CHAR(10), S1,S38,CHAR(10), U1,U38,CHAR(10), V1,V38,CHAR(10), W1,W38,CHAR(10), X1,X38,CHAR(10), Y1,Y38,CHAR(10), Z1,Z38,CHAR(10), AA1,AA38,CHAR(10), AB1,AB38,CHAR(10), AC1,AC38,CHAR(10), AD1,AD38,CHAR(10),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2xСпикон
Номинальная мощность: 2400 Вт
Максимальная мощность: 6000 Вт
Мощность усилителя:
Программная выходная мощность (PROGRAM):
Максимальное звуковое давление:134 дБ
тип динамиков
ВЧ динамик: 
НЧ динамик:18”x2
Динамик СЧ:
Угол раскрытия:
Размер: 950x600x600 мм
Вес: 85
Корпус: 
положение установки
Угол подвеска:
</v>
      </c>
      <c r="AF38" s="89"/>
      <c r="AG38" s="89" t="s">
        <v>1938</v>
      </c>
      <c r="AH38" s="89" t="s">
        <v>1939</v>
      </c>
      <c r="AK38" s="72" t="s">
        <v>1827</v>
      </c>
      <c r="AL38" s="72" t="str">
        <f t="shared" si="0"/>
        <v>MCF SBF-1802LNEXT Сабвуфер</v>
      </c>
      <c r="AM38" s="72" t="str">
        <f t="shared" si="1"/>
        <v>MCF SBF-1802LNEXT Сабвуфер</v>
      </c>
      <c r="AN38" s="72" t="s">
        <v>1840</v>
      </c>
      <c r="AO38" s="15"/>
      <c r="AP38" s="72" t="s">
        <v>1837</v>
      </c>
      <c r="AQ38" s="72" t="s">
        <v>1841</v>
      </c>
      <c r="AR38" s="72" t="s">
        <v>1842</v>
      </c>
      <c r="AS38" s="72" t="s">
        <v>1843</v>
      </c>
      <c r="AT38" s="72" t="s">
        <v>1844</v>
      </c>
      <c r="AU38" s="72" t="s">
        <v>1837</v>
      </c>
    </row>
    <row r="39" spans="1:47" ht="50.25" customHeight="1" x14ac:dyDescent="0.25">
      <c r="A39" s="88">
        <v>38</v>
      </c>
      <c r="B39" s="133" t="s">
        <v>1347</v>
      </c>
      <c r="C39" s="133"/>
      <c r="D39" s="94" t="s">
        <v>1322</v>
      </c>
      <c r="E39" s="88"/>
      <c r="F39" s="90"/>
      <c r="G39" s="88"/>
      <c r="H39" s="88"/>
      <c r="I39" s="88"/>
      <c r="J39" s="105" t="s">
        <v>1203</v>
      </c>
      <c r="K39" s="105" t="s">
        <v>1142</v>
      </c>
      <c r="L39" s="105" t="s">
        <v>1209</v>
      </c>
      <c r="N39" s="105" t="s">
        <v>1138</v>
      </c>
      <c r="O39" s="105" t="s">
        <v>345</v>
      </c>
      <c r="P39" s="105" t="s">
        <v>1204</v>
      </c>
      <c r="Q39" s="105" t="s">
        <v>1145</v>
      </c>
      <c r="R39" s="105"/>
      <c r="S39" s="105" t="s">
        <v>1137</v>
      </c>
      <c r="W39" s="105" t="s">
        <v>1205</v>
      </c>
      <c r="Z39" s="105" t="s">
        <v>1220</v>
      </c>
      <c r="AA39" s="105">
        <v>35</v>
      </c>
      <c r="AB39" s="89"/>
      <c r="AC39" s="89"/>
      <c r="AD39" s="89"/>
      <c r="AE39" s="89" t="str">
        <f>CONCATENATE( C1,C39,CHAR(10), D1,D39,CHAR(10), E1,E39,CHAR(10), F1,F39,CHAR(10), G1,G39,CHAR(10), H1,H39,CHAR(10), I1,I39,CHAR(10), J1,J39,CHAR(10), K1,K39,CHAR(10), L1,L39,CHAR(10), M1,M39,CHAR(10), N1,N39,CHAR(10), O1,O39,CHAR(10), P1,P39,CHAR(10), Q1,Q39,CHAR(10), R1,R39,CHAR(10), S1,S39,CHAR(10), U1,U39,CHAR(10), V1,V39,CHAR(10), W1,W39,CHAR(10), X1,X39,CHAR(10), Y1,Y39,CHAR(10), Z1,Z39,CHAR(10), AA1,AA39,CHAR(10), AB1,AB39,CHAR(10), AC1,AC39,CHAR(10), AD1,AD39,CHAR(10), )</f>
        <v xml:space="preserve">Модель
Тип: Сабвуфер активный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 
Драйвер В.Ч.:
Коннектор: XLR-f/m
Номинальная мощность: 1000 Вт
Максимальная мощность: 2000 Вт
Мощность усилителя:1500 Вт
Программная выходная мощность (PROGRAM):
Максимальное звуковое давление:128 дБ
тип динамиков
ВЧ динамик: 
НЧ динамик:18”
Динамик СЧ:
Угол раскрытия:
Размер: 350x374x586 мм
Вес: 35
Корпус: 
положение установки
Угол подвеска:
</v>
      </c>
      <c r="AF39" s="89"/>
      <c r="AG39" s="89" t="s">
        <v>1846</v>
      </c>
      <c r="AH39" s="89" t="s">
        <v>1935</v>
      </c>
      <c r="AK39" s="72" t="s">
        <v>1827</v>
      </c>
      <c r="AL39" s="72" t="str">
        <f t="shared" si="0"/>
        <v>MCF SPF-1801L+ Сабвуфер активный</v>
      </c>
      <c r="AM39" s="72" t="str">
        <f t="shared" si="1"/>
        <v>MCF SPF-1801L+ Сабвуфер активный</v>
      </c>
      <c r="AN39" s="72" t="s">
        <v>1840</v>
      </c>
      <c r="AO39" s="15"/>
      <c r="AP39" s="72" t="s">
        <v>1837</v>
      </c>
      <c r="AQ39" s="72" t="s">
        <v>1841</v>
      </c>
      <c r="AR39" s="72" t="s">
        <v>1842</v>
      </c>
      <c r="AS39" s="72" t="s">
        <v>1843</v>
      </c>
      <c r="AT39" s="72" t="s">
        <v>1844</v>
      </c>
      <c r="AU39" s="72" t="s">
        <v>1837</v>
      </c>
    </row>
    <row r="40" spans="1:47" ht="50.25" customHeight="1" x14ac:dyDescent="0.25">
      <c r="A40" s="88">
        <v>39</v>
      </c>
      <c r="B40" s="133" t="s">
        <v>1348</v>
      </c>
      <c r="C40" s="133"/>
      <c r="D40" s="94" t="s">
        <v>1322</v>
      </c>
      <c r="E40" s="88"/>
      <c r="F40" s="90"/>
      <c r="G40" s="88"/>
      <c r="H40" s="88"/>
      <c r="I40" s="88"/>
      <c r="J40" s="105" t="s">
        <v>1203</v>
      </c>
      <c r="K40" s="105" t="s">
        <v>1142</v>
      </c>
      <c r="L40" s="105" t="s">
        <v>10</v>
      </c>
      <c r="N40" s="105" t="s">
        <v>1138</v>
      </c>
      <c r="O40" s="105" t="s">
        <v>339</v>
      </c>
      <c r="P40" s="105" t="s">
        <v>1207</v>
      </c>
      <c r="Q40" s="105" t="s">
        <v>1213</v>
      </c>
      <c r="R40" s="105"/>
      <c r="S40" s="105" t="s">
        <v>1160</v>
      </c>
      <c r="W40" s="105" t="s">
        <v>1205</v>
      </c>
      <c r="Z40" s="105" t="s">
        <v>1220</v>
      </c>
      <c r="AA40" s="105">
        <v>38</v>
      </c>
      <c r="AE40" s="88" t="str">
        <f>CONCATENATE( C1,C40,CHAR(10), D1,D40,CHAR(10), E1,E40,CHAR(10), F1,F40,CHAR(10), G1,G40,CHAR(10), H1,H40,CHAR(10), I1,I40,CHAR(10), J1,J40,CHAR(10), K1,K40,CHAR(10), L1,L40,CHAR(10), M1,M40,CHAR(10), N1,N40,CHAR(10), O1,O40,CHAR(10), P1,P40,CHAR(10), Q1,Q40,CHAR(10), R1,R40,CHAR(10), S1,S40,CHAR(10), U1,U40,CHAR(10), V1,V40,CHAR(10), W1,W40,CHAR(10), X1,X40,CHAR(10), Y1,Y40,CHAR(10), Z1,Z40,CHAR(10), AA1,AA40,CHAR(10), AB1,AB40,CHAR(10), AC1,AC40,CHAR(10), AD1,AD40,CHAR(10), )</f>
        <v xml:space="preserve">Модель
Тип: Сабвуфер активный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XLR-f/m
Номинальная мощность: 1200 Вт
Максимальная мощность: 3000 Вт
Мощность усилителя:1800 Вт
Программная выходная мощность (PROGRAM):
Максимальное звуковое давление:132 дБ
тип динамиков
ВЧ динамик: 
НЧ динамик:18”
Динамик СЧ:
Угол раскрытия:
Размер: 350x374x586 мм
Вес: 38
Корпус: 
положение установки
Угол подвеска:
</v>
      </c>
      <c r="AG40" s="89" t="s">
        <v>1847</v>
      </c>
      <c r="AH40" s="146">
        <v>139900</v>
      </c>
      <c r="AK40" s="72" t="s">
        <v>1827</v>
      </c>
      <c r="AL40" s="72" t="str">
        <f t="shared" si="0"/>
        <v>MCF SPF-1801LNEXT+ Сабвуфер активный</v>
      </c>
      <c r="AM40" s="72" t="str">
        <f t="shared" si="1"/>
        <v>MCF SPF-1801LNEXT+ Сабвуфер активный</v>
      </c>
      <c r="AN40" s="72" t="s">
        <v>1840</v>
      </c>
      <c r="AO40" s="15"/>
      <c r="AP40" s="72" t="s">
        <v>1837</v>
      </c>
      <c r="AQ40" s="72" t="s">
        <v>1841</v>
      </c>
      <c r="AR40" s="72" t="s">
        <v>1842</v>
      </c>
      <c r="AS40" s="72" t="s">
        <v>1843</v>
      </c>
      <c r="AT40" s="72" t="s">
        <v>1844</v>
      </c>
      <c r="AU40" s="72" t="s">
        <v>1837</v>
      </c>
    </row>
    <row r="41" spans="1:47" ht="50.25" customHeight="1" x14ac:dyDescent="0.25">
      <c r="A41" s="88">
        <v>40</v>
      </c>
      <c r="B41" s="133" t="s">
        <v>1349</v>
      </c>
      <c r="C41" s="133"/>
      <c r="D41" s="94" t="s">
        <v>1202</v>
      </c>
      <c r="E41" s="88"/>
      <c r="F41" s="2"/>
      <c r="G41" s="54"/>
      <c r="H41" s="54"/>
      <c r="I41" s="54"/>
      <c r="J41" s="108" t="s">
        <v>1221</v>
      </c>
      <c r="K41" s="108" t="s">
        <v>1142</v>
      </c>
      <c r="L41" s="108" t="s">
        <v>1212</v>
      </c>
      <c r="N41" s="108" t="s">
        <v>1131</v>
      </c>
      <c r="O41" s="108" t="s">
        <v>1211</v>
      </c>
      <c r="P41" s="108" t="s">
        <v>1222</v>
      </c>
      <c r="S41" s="108" t="s">
        <v>1224</v>
      </c>
      <c r="T41" s="54"/>
      <c r="U41" s="54"/>
      <c r="V41" s="54"/>
      <c r="W41" s="108" t="s">
        <v>1223</v>
      </c>
      <c r="Z41" s="108" t="s">
        <v>1219</v>
      </c>
      <c r="AA41" s="108">
        <v>82</v>
      </c>
      <c r="AB41" s="54"/>
      <c r="AC41" s="54"/>
      <c r="AD41" s="54"/>
      <c r="AE41" s="54" t="str">
        <f>CONCATENATE( C1,C41,CHAR(10), D1,D41,CHAR(10), E1,E41,CHAR(10), F1,F41,CHAR(10), G1,G41,CHAR(10), H1,H41,CHAR(10), I1,I41,CHAR(10), J1,J41,CHAR(10), K1,K41,CHAR(10), L1,L41,CHAR(10), M1,M41,CHAR(10), N1,N41,CHAR(10), O1,O41,CHAR(10), P1,P41,CHAR(10), Q1,Q41,CHAR(10), R1,R41,CHAR(10), S1,S41,CHAR(10), U1,U41,CHAR(10), V1,V41,CHAR(10), W1,W41,CHAR(10), X1,X41,CHAR(10), Y1,Y41,CHAR(10), Z1,Z41,CHAR(10), AA1,AA41,CHAR(10), AB1,AB41,CHAR(10), AC1,AC41,CHAR(10), AD1,AD41,CHAR(10),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частота:35 Гц-200 Гц(+/-3 дБ)
Чувствительность: 98 дБ (1 Вт / 1 м)
Сопротивление: 4 Ом
Драйвер В.Ч.:
Коннектор: 2xСпикон
Номинальная мощность: 2400 Вт
Максимальная мощность: 4800 Вт
Мощность усилителя:
Программная выходная мощность (PROGRAM):
Максимальное звуковое давление:137 дБ
тип динамиков
ВЧ динамик: 
НЧ динамик:18”x2 ферритовый магнит
Динамик СЧ:
Угол раскрытия:
Размер: 950x600x600 мм
Вес: 82
Корпус: 
положение установки
Угол подвеска:
</v>
      </c>
      <c r="AF41" s="54"/>
      <c r="AG41" s="54"/>
      <c r="AH41" s="99" t="s">
        <v>1935</v>
      </c>
      <c r="AK41" s="72" t="s">
        <v>1827</v>
      </c>
      <c r="AL41" s="72" t="str">
        <f t="shared" si="0"/>
        <v>MCF SBF-1802L (2400) Сабвуфер</v>
      </c>
      <c r="AM41" s="72" t="str">
        <f t="shared" si="1"/>
        <v>MCF SBF-1802L (2400) Сабвуфер</v>
      </c>
      <c r="AN41" s="72" t="s">
        <v>1840</v>
      </c>
      <c r="AO41" s="15"/>
      <c r="AP41" s="72" t="s">
        <v>1837</v>
      </c>
      <c r="AQ41" s="72" t="s">
        <v>1841</v>
      </c>
      <c r="AR41" s="72" t="s">
        <v>1842</v>
      </c>
      <c r="AS41" s="72" t="s">
        <v>1843</v>
      </c>
      <c r="AT41" s="72" t="s">
        <v>1844</v>
      </c>
      <c r="AU41" s="72" t="s">
        <v>1837</v>
      </c>
    </row>
    <row r="42" spans="1:47" ht="50.25" customHeight="1" x14ac:dyDescent="0.25">
      <c r="A42" s="88">
        <v>41</v>
      </c>
      <c r="B42" s="133" t="s">
        <v>1351</v>
      </c>
      <c r="C42" s="133"/>
      <c r="D42" s="94" t="s">
        <v>1202</v>
      </c>
      <c r="E42" s="88"/>
      <c r="F42" s="90"/>
      <c r="G42" s="88"/>
      <c r="H42" s="88"/>
      <c r="I42" s="88"/>
      <c r="J42" s="105" t="s">
        <v>1203</v>
      </c>
      <c r="K42" s="105" t="s">
        <v>1142</v>
      </c>
      <c r="L42" s="105" t="s">
        <v>10</v>
      </c>
      <c r="N42" s="105" t="s">
        <v>1131</v>
      </c>
      <c r="O42" s="105" t="s">
        <v>349</v>
      </c>
      <c r="P42" s="105" t="s">
        <v>1225</v>
      </c>
      <c r="S42" s="105" t="s">
        <v>1137</v>
      </c>
      <c r="W42" s="105" t="s">
        <v>1205</v>
      </c>
      <c r="Z42" s="105" t="s">
        <v>1206</v>
      </c>
      <c r="AA42" s="105">
        <v>40</v>
      </c>
      <c r="AB42" s="89"/>
      <c r="AC42" s="105" t="s">
        <v>1226</v>
      </c>
      <c r="AD42" s="105"/>
      <c r="AE42" s="105" t="str">
        <f>CONCATENATE( C1,C42,CHAR(10), D1,D42,CHAR(10), E1,E42,CHAR(10), F1,F42,CHAR(10), G1,G42,CHAR(10), H1,H42,CHAR(10), I1,I42,CHAR(10), J1,J42,CHAR(10), K1,K42,CHAR(10), L1,L42,CHAR(10), M1,M42,CHAR(10), N1,N42,CHAR(10), O1,O42,CHAR(10), P1,P42,CHAR(10), Q1,Q42,CHAR(10), R1,R42,CHAR(10), S1,S42,CHAR(10), U1,U42,CHAR(10), V1,V42,CHAR(10), W1,W42,CHAR(10), X1,X42,CHAR(10), Y1,Y42,CHAR(10), Z1,Z42,CHAR(10), AA1,AA42,CHAR(10), AB1,AB42,CHAR(10), AC1,AC42,CHAR(10), AD1,AD42,CHAR(10),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800 Вт
Максимальная мощность: 1600 Вт
Мощность усилителя:
Программная выходная мощность (PROGRAM):
Максимальное звуковое давление:128 дБ
тип динамиков
ВЧ динамик: 
НЧ динамик:18”
Динамик СЧ:
Угол раскрытия:
Размер: 580x487x670 мм
Вес: 40
Корпус: 
положение установкинапольное и подвесное
Угол подвеска:
</v>
      </c>
      <c r="AF42" s="105"/>
      <c r="AG42" s="89" t="s">
        <v>1846</v>
      </c>
      <c r="AH42" s="89" t="s">
        <v>1935</v>
      </c>
      <c r="AK42" s="72" t="s">
        <v>1827</v>
      </c>
      <c r="AL42" s="72" t="str">
        <f t="shared" si="0"/>
        <v>MCF VSPF-1801L Сабвуфер</v>
      </c>
      <c r="AM42" s="72" t="str">
        <f t="shared" si="1"/>
        <v>MCF VSPF-1801L Сабвуфер</v>
      </c>
      <c r="AN42" s="72" t="s">
        <v>1840</v>
      </c>
      <c r="AO42" s="15"/>
      <c r="AP42" s="72" t="s">
        <v>1837</v>
      </c>
      <c r="AQ42" s="72" t="s">
        <v>1841</v>
      </c>
      <c r="AR42" s="72" t="s">
        <v>1842</v>
      </c>
      <c r="AS42" s="72" t="s">
        <v>1843</v>
      </c>
      <c r="AT42" s="72" t="s">
        <v>1844</v>
      </c>
      <c r="AU42" s="72" t="s">
        <v>1837</v>
      </c>
    </row>
    <row r="43" spans="1:47" ht="50.25" customHeight="1" x14ac:dyDescent="0.25">
      <c r="A43" s="88">
        <v>42</v>
      </c>
      <c r="B43" s="133" t="s">
        <v>1352</v>
      </c>
      <c r="C43" s="133"/>
      <c r="D43" s="94" t="s">
        <v>1202</v>
      </c>
      <c r="E43" s="88"/>
      <c r="G43" s="88"/>
      <c r="H43" s="88"/>
      <c r="I43" s="88"/>
      <c r="J43" s="105" t="s">
        <v>1227</v>
      </c>
      <c r="K43" s="105" t="s">
        <v>1142</v>
      </c>
      <c r="L43" s="105" t="s">
        <v>10</v>
      </c>
      <c r="N43" s="105" t="s">
        <v>1131</v>
      </c>
      <c r="O43" s="105" t="s">
        <v>339</v>
      </c>
      <c r="P43" s="105" t="s">
        <v>1207</v>
      </c>
      <c r="S43" s="105" t="s">
        <v>1146</v>
      </c>
      <c r="W43" s="105" t="s">
        <v>1205</v>
      </c>
      <c r="Z43" s="105" t="s">
        <v>1228</v>
      </c>
      <c r="AA43" s="105" t="s">
        <v>1903</v>
      </c>
      <c r="AB43" s="89"/>
      <c r="AC43" s="105" t="s">
        <v>1226</v>
      </c>
      <c r="AD43" s="105"/>
      <c r="AE43" s="105" t="str">
        <f>CONCATENATE( C1,C43,CHAR(10), D1,D43,CHAR(10), E1,E43,CHAR(10), F1,F43,CHAR(10), G1,G43,CHAR(10), H1,H43,CHAR(10), I1,I43,CHAR(10), J1,J43,CHAR(10), K1,K43,CHAR(10), L1,L43,CHAR(10), M1,M43,CHAR(10), N1,N43,CHAR(10), O1,O43,CHAR(10), P1,P43,CHAR(10), Q1,Q43,CHAR(10), R1,R43,CHAR(10), S1,S43,CHAR(10), U1,U43,CHAR(10), V1,V43,CHAR(10), W1,W43,CHAR(10), X1,X43,CHAR(10), Y1,Y43,CHAR(10), Z1,Z43,CHAR(10), AA1,AA43,CHAR(10), AB1,AB43,CHAR(10), AC1,AC43,CHAR(10), AD1,AD43,CHAR(10),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- 5000 Гц (± 3 дБ)
Чувствительность: 98 дБ (1 Вт / 1 м)
Сопротивление: 8 Ом
Драйвер В.Ч.:
Коннектор: 2xСпикон
Номинальная мощность: 1200 Вт
Максимальная мощность: 3000 Вт
Мощность усилителя:
Программная выходная мощность (PROGRAM):
Максимальное звуковое давление:136 дБ
тип динамиков
ВЧ динамик: 
НЧ динамик:18”
Динамик СЧ:
Угол раскрытия:
Размер: 580x490x670 мм
Вес: 32,8
Корпус: 
положение установкинапольное и подвесное
Угол подвеска:
</v>
      </c>
      <c r="AF43" s="105"/>
      <c r="AG43" s="89"/>
      <c r="AH43" s="89"/>
      <c r="AK43" s="72" t="s">
        <v>1827</v>
      </c>
      <c r="AL43" s="72" t="str">
        <f t="shared" si="0"/>
        <v>MCF VSPN-1801 (1200) Сабвуфер</v>
      </c>
      <c r="AM43" s="72" t="str">
        <f t="shared" si="1"/>
        <v>MCF VSPN-1801 (1200) Сабвуфер</v>
      </c>
      <c r="AN43" s="72" t="s">
        <v>1840</v>
      </c>
      <c r="AO43" s="15"/>
      <c r="AP43" s="72" t="s">
        <v>1837</v>
      </c>
      <c r="AQ43" s="72" t="s">
        <v>1841</v>
      </c>
      <c r="AR43" s="72" t="s">
        <v>1842</v>
      </c>
      <c r="AS43" s="72" t="s">
        <v>1843</v>
      </c>
      <c r="AT43" s="72" t="s">
        <v>1844</v>
      </c>
      <c r="AU43" s="72" t="s">
        <v>1837</v>
      </c>
    </row>
    <row r="44" spans="1:47" ht="50.25" customHeight="1" x14ac:dyDescent="0.25">
      <c r="A44" s="88">
        <v>43</v>
      </c>
      <c r="B44" s="133" t="s">
        <v>1353</v>
      </c>
      <c r="C44" s="133"/>
      <c r="D44" s="94" t="s">
        <v>1202</v>
      </c>
      <c r="E44" s="88"/>
      <c r="G44" s="88"/>
      <c r="H44" s="88"/>
      <c r="I44" s="88"/>
      <c r="J44" s="105" t="s">
        <v>1203</v>
      </c>
      <c r="K44" s="105" t="s">
        <v>1142</v>
      </c>
      <c r="L44" s="105" t="s">
        <v>10</v>
      </c>
      <c r="N44" s="105" t="s">
        <v>1131</v>
      </c>
      <c r="O44" s="105" t="s">
        <v>349</v>
      </c>
      <c r="P44" s="105" t="s">
        <v>1225</v>
      </c>
      <c r="S44" s="105" t="s">
        <v>1137</v>
      </c>
      <c r="W44" s="105" t="s">
        <v>1205</v>
      </c>
      <c r="Z44" s="105" t="s">
        <v>1228</v>
      </c>
      <c r="AA44" s="105" t="s">
        <v>1903</v>
      </c>
      <c r="AB44" s="89"/>
      <c r="AC44" s="105" t="s">
        <v>1226</v>
      </c>
      <c r="AD44" s="105"/>
      <c r="AE44" s="105" t="str">
        <f>CONCATENATE( C1,C44,CHAR(10), D1,D44,CHAR(10), E1,E44,CHAR(10), F1,F44,CHAR(10), G1,G44,CHAR(10), H1,H44,CHAR(10), I1,I44,CHAR(10), J1,J44,CHAR(10), K1,K44,CHAR(10), L1,L44,CHAR(10), M1,M44,CHAR(10), N1,N44,CHAR(10), O1,O44,CHAR(10), P1,P44,CHAR(10), Q1,Q44,CHAR(10), R1,R44,CHAR(10), S1,S44,CHAR(10), U1,U44,CHAR(10), V1,V44,CHAR(10), W1,W44,CHAR(10), X1,X44,CHAR(10), Y1,Y44,CHAR(10), Z1,Z44,CHAR(10), AA1,AA44,CHAR(10), AB1,AB44,CHAR(10), AC1,AC44,CHAR(10), AD1,AD44,CHAR(10),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800 Вт
Максимальная мощность: 1600 Вт
Мощность усилителя:
Программная выходная мощность (PROGRAM):
Максимальное звуковое давление:128 дБ
тип динамиков
ВЧ динамик: 
НЧ динамик:18”
Динамик СЧ:
Угол раскрытия:
Размер: 580x490x670 мм
Вес: 32,8
Корпус: 
положение установкинапольное и подвесное
Угол подвеска:
</v>
      </c>
      <c r="AF44" s="105"/>
      <c r="AG44" s="89"/>
      <c r="AH44" s="89"/>
      <c r="AK44" s="72" t="s">
        <v>1827</v>
      </c>
      <c r="AL44" s="72" t="str">
        <f t="shared" si="0"/>
        <v>MCF VSPN-1801 (1000) Сабвуфер</v>
      </c>
      <c r="AM44" s="72" t="str">
        <f t="shared" si="1"/>
        <v>MCF VSPN-1801 (1000) Сабвуфер</v>
      </c>
      <c r="AN44" s="72" t="s">
        <v>1840</v>
      </c>
      <c r="AO44" s="15"/>
      <c r="AP44" s="72" t="s">
        <v>1837</v>
      </c>
      <c r="AQ44" s="72" t="s">
        <v>1841</v>
      </c>
      <c r="AR44" s="72" t="s">
        <v>1842</v>
      </c>
      <c r="AS44" s="72" t="s">
        <v>1843</v>
      </c>
      <c r="AT44" s="72" t="s">
        <v>1844</v>
      </c>
      <c r="AU44" s="72" t="s">
        <v>1837</v>
      </c>
    </row>
    <row r="45" spans="1:47" ht="50.25" customHeight="1" x14ac:dyDescent="0.25">
      <c r="A45" s="88">
        <v>44</v>
      </c>
      <c r="B45" s="133" t="s">
        <v>1351</v>
      </c>
      <c r="C45" s="133"/>
      <c r="D45" s="94" t="s">
        <v>1202</v>
      </c>
      <c r="E45" s="111"/>
      <c r="F45" s="54"/>
      <c r="G45" s="88"/>
      <c r="H45" s="88"/>
      <c r="I45" s="88"/>
      <c r="J45" s="90" t="s">
        <v>1203</v>
      </c>
      <c r="K45" s="90" t="s">
        <v>1142</v>
      </c>
      <c r="L45" s="90" t="s">
        <v>10</v>
      </c>
      <c r="N45" s="90" t="s">
        <v>1131</v>
      </c>
      <c r="O45" s="90" t="s">
        <v>345</v>
      </c>
      <c r="P45" s="90" t="s">
        <v>1204</v>
      </c>
      <c r="Q45" s="91"/>
      <c r="R45" s="91"/>
      <c r="S45" s="90" t="s">
        <v>1229</v>
      </c>
      <c r="T45" s="91"/>
      <c r="U45" s="91"/>
      <c r="W45" s="90" t="s">
        <v>1205</v>
      </c>
      <c r="Z45" s="90" t="s">
        <v>1206</v>
      </c>
      <c r="AA45" s="90">
        <v>40</v>
      </c>
      <c r="AB45" s="90"/>
      <c r="AC45" s="90" t="s">
        <v>1226</v>
      </c>
      <c r="AD45" s="90"/>
      <c r="AE45" s="90" t="str">
        <f>CONCATENATE( C1,C45,CHAR(10), D1,D45,CHAR(10), E1,E45,CHAR(10), F1,F45,CHAR(10), G1,G45,CHAR(10), H1,H45,CHAR(10), I1,I45,CHAR(10), J1,J45,CHAR(10), K1,K45,CHAR(10), L1,L45,CHAR(10), M1,M45,CHAR(10), N1,N45,CHAR(10), O1,O45,CHAR(10), P1,P45,CHAR(10), Q1,Q45,CHAR(10), R1,R45,CHAR(10), S1,S45,CHAR(10), U1,U45,CHAR(10), V1,V45,CHAR(10), W1,W45,CHAR(10), X1,X45,CHAR(10), Y1,Y45,CHAR(10), Z1,Z45,CHAR(10), AA1,AA45,CHAR(10), AB1,AB45,CHAR(10), AC1,AC45,CHAR(10), AD1,AD45,CHAR(10),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1000 Вт
Максимальная мощность: 2000 Вт
Мощность усилителя:
Программная выходная мощность (PROGRAM):
Максимальное звуковое давление:130 дБ
тип динамиков
ВЧ динамик: 
НЧ динамик:18”
Динамик СЧ:
Угол раскрытия:
Размер: 580x487x670 мм
Вес: 40
Корпус: 
положение установкинапольное и подвесное
Угол подвеска:
</v>
      </c>
      <c r="AF45" s="90"/>
      <c r="AG45" s="89" t="s">
        <v>1847</v>
      </c>
      <c r="AH45" s="89" t="s">
        <v>1940</v>
      </c>
      <c r="AK45" s="72" t="s">
        <v>1827</v>
      </c>
      <c r="AL45" s="72" t="str">
        <f t="shared" si="0"/>
        <v>MCF VSPF-1801L Сабвуфер</v>
      </c>
      <c r="AM45" s="72" t="str">
        <f t="shared" si="1"/>
        <v>MCF VSPF-1801L Сабвуфер</v>
      </c>
      <c r="AN45" s="72" t="s">
        <v>1840</v>
      </c>
      <c r="AO45" s="15"/>
      <c r="AP45" s="72" t="s">
        <v>1837</v>
      </c>
      <c r="AQ45" s="72" t="s">
        <v>1841</v>
      </c>
      <c r="AR45" s="72" t="s">
        <v>1842</v>
      </c>
      <c r="AS45" s="72" t="s">
        <v>1843</v>
      </c>
      <c r="AT45" s="72" t="s">
        <v>1844</v>
      </c>
      <c r="AU45" s="72" t="s">
        <v>1837</v>
      </c>
    </row>
    <row r="46" spans="1:47" ht="50.25" customHeight="1" x14ac:dyDescent="0.25">
      <c r="A46" s="88">
        <v>45</v>
      </c>
      <c r="B46" s="133" t="s">
        <v>1351</v>
      </c>
      <c r="C46" s="133"/>
      <c r="D46" s="94" t="s">
        <v>1202</v>
      </c>
      <c r="E46" s="88"/>
      <c r="F46" s="98"/>
      <c r="G46" s="88"/>
      <c r="H46" s="88"/>
      <c r="I46" s="88"/>
      <c r="J46" s="109" t="s">
        <v>1203</v>
      </c>
      <c r="K46" s="109" t="s">
        <v>1142</v>
      </c>
      <c r="L46" s="109" t="s">
        <v>10</v>
      </c>
      <c r="M46" s="91"/>
      <c r="N46" s="109" t="s">
        <v>1131</v>
      </c>
      <c r="O46" s="109" t="s">
        <v>339</v>
      </c>
      <c r="P46" s="109" t="s">
        <v>1211</v>
      </c>
      <c r="Q46" s="91"/>
      <c r="R46" s="91"/>
      <c r="S46" s="109" t="s">
        <v>1160</v>
      </c>
      <c r="T46" s="91"/>
      <c r="U46" s="91"/>
      <c r="W46" s="109" t="s">
        <v>1205</v>
      </c>
      <c r="Z46" s="109" t="s">
        <v>1206</v>
      </c>
      <c r="AA46" s="109">
        <v>40</v>
      </c>
      <c r="AB46" s="98"/>
      <c r="AC46" s="109" t="s">
        <v>1226</v>
      </c>
      <c r="AD46" s="109"/>
      <c r="AE46" s="109" t="str">
        <f>CONCATENATE( C1,C46,CHAR(10), D1,D46,CHAR(10), E1,E46,CHAR(10), F1,F46,CHAR(10), G1,G46,CHAR(10), H1,H46,CHAR(10), I1,I46,CHAR(10), J1,J46,CHAR(10), K1,K46,CHAR(10), L1,L46,CHAR(10), M1,M46,CHAR(10), N1,N46,CHAR(10), O1,O46,CHAR(10), P1,P46,CHAR(10), Q1,Q46,CHAR(10), R1,R46,CHAR(10), S1,S46,CHAR(10), U1,U46,CHAR(10), V1,V46,CHAR(10), W1,W46,CHAR(10), X1,X46,CHAR(10), Y1,Y46,CHAR(10), Z1,Z46,CHAR(10), AA1,AA46,CHAR(10), AB1,AB46,CHAR(10), AC1,AC46,CHAR(10), AD1,AD46,CHAR(10),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2xСпикон
Номинальная мощность: 1200 Вт
Максимальная мощность: 2400 Вт
Мощность усилителя:
Программная выходная мощность (PROGRAM):
Максимальное звуковое давление:132 дБ
тип динамиков
ВЧ динамик: 
НЧ динамик:18”
Динамик СЧ:
Угол раскрытия:
Размер: 580x487x670 мм
Вес: 40
Корпус: 
положение установкинапольное и подвесное
Угол подвеска:
</v>
      </c>
      <c r="AF46" s="109"/>
      <c r="AG46" s="89" t="s">
        <v>1941</v>
      </c>
      <c r="AH46" s="89" t="s">
        <v>1939</v>
      </c>
      <c r="AK46" s="72" t="s">
        <v>1827</v>
      </c>
      <c r="AL46" s="72" t="str">
        <f t="shared" si="0"/>
        <v>MCF VSPF-1801L Сабвуфер</v>
      </c>
      <c r="AM46" s="72" t="str">
        <f t="shared" si="1"/>
        <v>MCF VSPF-1801L Сабвуфер</v>
      </c>
      <c r="AN46" s="72" t="s">
        <v>1840</v>
      </c>
      <c r="AO46" s="15"/>
      <c r="AP46" s="72" t="s">
        <v>1837</v>
      </c>
      <c r="AQ46" s="72" t="s">
        <v>1841</v>
      </c>
      <c r="AR46" s="72" t="s">
        <v>1842</v>
      </c>
      <c r="AS46" s="72" t="s">
        <v>1843</v>
      </c>
      <c r="AT46" s="72" t="s">
        <v>1844</v>
      </c>
      <c r="AU46" s="72" t="s">
        <v>1837</v>
      </c>
    </row>
    <row r="47" spans="1:47" ht="50.25" customHeight="1" x14ac:dyDescent="0.25">
      <c r="A47" s="88">
        <v>46</v>
      </c>
      <c r="B47" s="133" t="s">
        <v>1354</v>
      </c>
      <c r="C47" s="133"/>
      <c r="D47" s="94" t="s">
        <v>1355</v>
      </c>
      <c r="E47" s="88"/>
      <c r="F47" s="111" t="s">
        <v>1232</v>
      </c>
      <c r="G47" s="54"/>
      <c r="H47" s="54"/>
      <c r="I47" s="54"/>
      <c r="J47" s="111" t="s">
        <v>1230</v>
      </c>
      <c r="K47" s="111" t="s">
        <v>1142</v>
      </c>
      <c r="L47" s="111" t="s">
        <v>10</v>
      </c>
      <c r="M47" s="91"/>
      <c r="N47" s="111" t="s">
        <v>1233</v>
      </c>
      <c r="O47" s="111" t="s">
        <v>449</v>
      </c>
      <c r="P47" s="111" t="s">
        <v>339</v>
      </c>
      <c r="Q47" s="111" t="s">
        <v>1231</v>
      </c>
      <c r="R47" s="111"/>
      <c r="S47" s="111" t="s">
        <v>1160</v>
      </c>
      <c r="T47" s="91"/>
      <c r="U47" s="91"/>
      <c r="W47" s="111" t="s">
        <v>1157</v>
      </c>
      <c r="Z47" s="111" t="s">
        <v>1234</v>
      </c>
      <c r="AA47" s="111">
        <v>26.8</v>
      </c>
      <c r="AB47" s="54"/>
      <c r="AC47" s="111" t="s">
        <v>1235</v>
      </c>
      <c r="AD47" s="111"/>
      <c r="AE47" s="111" t="str">
        <f>CONCATENATE( C1,C47,CHAR(10), D1,D47,CHAR(10), E1,E47,CHAR(10), F1,F47,CHAR(10), G1,G47,CHAR(10), H1,H47,CHAR(10), I1,I47,CHAR(10), J1,J47,CHAR(10), K1,K47,CHAR(10), L1,L47,CHAR(10), M1,M47,CHAR(10), N1,N47,CHAR(10), O1,O47,CHAR(10), P1,P47,CHAR(10), Q1,Q47,CHAR(10), R1,R47,CHAR(10), S1,S47,CHAR(10), U1,U47,CHAR(10), V1,V47,CHAR(10), W1,W47,CHAR(10), X1,X47,CHAR(10), Y1,Y47,CHAR(10), Z1,Z47,CHAR(10), AA1,AA47,CHAR(10), AB1,AB47,CHAR(10), AC1,AC47,CHAR(10), AD1,AD47,CHAR(10), )</f>
        <v xml:space="preserve">Модель
Тип: Сабвуфер активный
Мощность: 
Потребляемая мощностьдо 1400 Вт
Диапазон частот: 
Частотный диапазон (-6дБ):
Частотный диапазон (-10дБ):
Воспроизводимая частота:45 Гц - 1000 Гц (± 3 дБ)
Чувствительность: 98 дБ (1 Вт / 1 м)
Сопротивление: 8 Ом
Драйвер В.Ч.:
Коннектор: XLR-f/m Speakon
Номинальная мощность: 600 Вт
Максимальная мощность: 1200 Вт
Мощность усилителя:600 Вт + 2x100 Вт
Программная выходная мощность (PROGRAM):
Максимальное звуковое давление:132 дБ
тип динамиков
ВЧ динамик: 
НЧ динамик:15”
Динамик СЧ:
Угол раскрытия:
Размер: 530x470x560 мм
Вес: 26.8
Корпус: 
положение установкинапольное
Угол подвеска:
</v>
      </c>
      <c r="AF47" s="111"/>
      <c r="AG47" s="146">
        <v>39900</v>
      </c>
      <c r="AH47" s="89" t="s">
        <v>1191</v>
      </c>
      <c r="AL47" s="72" t="str">
        <f t="shared" si="0"/>
        <v>MCF SPF-1501L + (600W) Сабвуфер активный</v>
      </c>
      <c r="AM47" s="72" t="str">
        <f t="shared" si="1"/>
        <v>MCF SPF-1501L + (600W) Сабвуфер активный</v>
      </c>
      <c r="AN47" s="72" t="s">
        <v>1840</v>
      </c>
      <c r="AP47" s="72" t="s">
        <v>1837</v>
      </c>
      <c r="AQ47" s="72" t="s">
        <v>1841</v>
      </c>
      <c r="AR47" s="72" t="s">
        <v>1842</v>
      </c>
      <c r="AS47" s="72" t="s">
        <v>1843</v>
      </c>
      <c r="AT47" s="72" t="s">
        <v>1844</v>
      </c>
      <c r="AU47" s="72" t="s">
        <v>1837</v>
      </c>
    </row>
    <row r="48" spans="1:47" ht="50.25" customHeight="1" x14ac:dyDescent="0.25">
      <c r="A48" s="88">
        <v>47</v>
      </c>
      <c r="B48" s="133" t="s">
        <v>1356</v>
      </c>
      <c r="C48" s="133"/>
      <c r="D48" s="94" t="s">
        <v>1355</v>
      </c>
      <c r="E48" s="88"/>
      <c r="F48" s="111" t="s">
        <v>1237</v>
      </c>
      <c r="G48" s="54"/>
      <c r="H48" s="54"/>
      <c r="I48" s="54"/>
      <c r="J48" s="111" t="s">
        <v>1230</v>
      </c>
      <c r="K48" s="111" t="s">
        <v>1142</v>
      </c>
      <c r="L48" s="111" t="s">
        <v>10</v>
      </c>
      <c r="M48" s="91"/>
      <c r="N48" s="111" t="s">
        <v>1233</v>
      </c>
      <c r="O48" s="111" t="s">
        <v>349</v>
      </c>
      <c r="P48" s="111" t="s">
        <v>1225</v>
      </c>
      <c r="Q48" s="111" t="s">
        <v>1236</v>
      </c>
      <c r="R48" s="111"/>
      <c r="S48" s="111" t="s">
        <v>1160</v>
      </c>
      <c r="T48" s="91"/>
      <c r="U48" s="91"/>
      <c r="W48" s="111" t="s">
        <v>1157</v>
      </c>
      <c r="Z48" s="111" t="s">
        <v>1234</v>
      </c>
      <c r="AA48" s="111">
        <v>26.8</v>
      </c>
      <c r="AC48" s="54"/>
      <c r="AD48" s="54"/>
      <c r="AE48" s="54" t="str">
        <f>CONCATENATE( C1,C48,CHAR(10), D1,D48,CHAR(10), E1,E48,CHAR(10), F1,F48,CHAR(10), G1,G48,CHAR(10), H1,H48,CHAR(10), I1,I48,CHAR(10), J1,J48,CHAR(10), K1,K48,CHAR(10), L1,L48,CHAR(10), M1,M48,CHAR(10), N1,N48,CHAR(10), O1,O48,CHAR(10), P1,P48,CHAR(10), Q1,Q48,CHAR(10), R1,R48,CHAR(10), S1,S48,CHAR(10), U1,U48,CHAR(10), V1,V48,CHAR(10), W1,W48,CHAR(10), X1,X48,CHAR(10), Y1,Y48,CHAR(10), Z1,Z48,CHAR(10), AA1,AA48,CHAR(10), AB1,AB48,CHAR(10), AC1,AC48,CHAR(10), AD1,AD48,CHAR(10), )</f>
        <v xml:space="preserve">Модель
Тип: Сабвуфер активный
Мощность: 
Потребляемая мощностьдо 1600 Вт
Диапазон частот: 
Частотный диапазон (-6дБ):
Частотный диапазон (-10дБ):
Воспроизводимая частота:45 Гц - 1000 Гц (± 3 дБ)
Чувствительность: 98 дБ (1 Вт / 1 м)
Сопротивление: 8 Ом
Драйвер В.Ч.:
Коннектор: XLR-f/m Speakon
Номинальная мощность: 800 Вт
Максимальная мощность: 1600 Вт
Мощность усилителя:600 Вт + 2x150 Вт
Программная выходная мощность (PROGRAM):
Максимальное звуковое давление:132 дБ
тип динамиков
ВЧ динамик: 
НЧ динамик:15”
Динамик СЧ:
Угол раскрытия:
Размер: 530x470x560 мм
Вес: 26.8
Корпус: 
положение установки
Угол подвеска:
</v>
      </c>
      <c r="AF48" s="54"/>
      <c r="AG48" s="89" t="s">
        <v>1942</v>
      </c>
      <c r="AH48" s="89" t="s">
        <v>1191</v>
      </c>
      <c r="AL48" s="72" t="str">
        <f t="shared" si="0"/>
        <v>MCF SPF-1501L + (800W) Сабвуфер активный</v>
      </c>
      <c r="AM48" s="72" t="str">
        <f t="shared" si="1"/>
        <v>MCF SPF-1501L + (800W) Сабвуфер активный</v>
      </c>
      <c r="AN48" s="72" t="s">
        <v>1840</v>
      </c>
      <c r="AP48" s="72" t="s">
        <v>1837</v>
      </c>
      <c r="AQ48" s="72" t="s">
        <v>1841</v>
      </c>
      <c r="AR48" s="72" t="s">
        <v>1842</v>
      </c>
      <c r="AS48" s="72" t="s">
        <v>1843</v>
      </c>
      <c r="AT48" s="72" t="s">
        <v>1844</v>
      </c>
      <c r="AU48" s="72" t="s">
        <v>1837</v>
      </c>
    </row>
    <row r="49" spans="1:47" ht="50.25" customHeight="1" x14ac:dyDescent="0.25">
      <c r="A49" s="88">
        <v>48</v>
      </c>
      <c r="B49" s="133" t="s">
        <v>1357</v>
      </c>
      <c r="C49" s="133"/>
      <c r="D49" s="94" t="s">
        <v>1322</v>
      </c>
      <c r="E49" s="88"/>
      <c r="F49" s="108" t="s">
        <v>1239</v>
      </c>
      <c r="G49" s="88"/>
      <c r="H49" s="88"/>
      <c r="I49" s="88"/>
      <c r="J49" s="108" t="s">
        <v>1230</v>
      </c>
      <c r="K49" s="108" t="s">
        <v>1240</v>
      </c>
      <c r="L49" s="108" t="s">
        <v>10</v>
      </c>
      <c r="N49" s="108" t="s">
        <v>1233</v>
      </c>
      <c r="O49" s="108" t="s">
        <v>349</v>
      </c>
      <c r="P49" s="108" t="s">
        <v>1225</v>
      </c>
      <c r="Q49" s="108" t="s">
        <v>1238</v>
      </c>
      <c r="R49" s="108"/>
      <c r="S49" s="108" t="s">
        <v>1158</v>
      </c>
      <c r="W49" s="108" t="s">
        <v>1157</v>
      </c>
      <c r="Z49" s="108" t="s">
        <v>1234</v>
      </c>
      <c r="AA49" s="108">
        <v>26.8</v>
      </c>
      <c r="AC49" s="89"/>
      <c r="AD49" s="89"/>
      <c r="AE49" s="89" t="str">
        <f>CONCATENATE( C1,C49,CHAR(10), D1,D49,CHAR(10), E1,E49,CHAR(10), F1,F49,CHAR(10), G1,G49,CHAR(10), H1,H49,CHAR(10), I1,I49,CHAR(10), J1,J49,CHAR(10), K1,K49,CHAR(10), L1,L49,CHAR(10), M1,M49,CHAR(10), N1,N49,CHAR(10), O1,O49,CHAR(10), P1,P49,CHAR(10), Q1,Q49,CHAR(10), R1,R49,CHAR(10), S1,S49,CHAR(10), U1,U49,CHAR(10), V1,V49,CHAR(10), W1,W49,CHAR(10), X1,X49,CHAR(10), Y1,Y49,CHAR(10), Z1,Z49,CHAR(10), AA1,AA49,CHAR(10), AB1,AB49,CHAR(10), AC1,AC49,CHAR(10), AD1,AD49,CHAR(10), )</f>
        <v xml:space="preserve">Модель
Тип: Сабвуфер активный
Мощность: 
Потребляемая мощность1100 Вт
Диапазон частот: 
Частотный диапазон (-6дБ):
Частотный диапазон (-10дБ):
Воспроизводимая частота:45 Гц - 1000 Гц (± 3 дБ)
Чувствительность: 99 дБ (1 Вт / 1 м)
Сопротивление: 8 Ом
Драйвер В.Ч.:
Коннектор: XLR-f/m Speakon
Номинальная мощность: 800 Вт
Максимальная мощность: 1600 Вт
Мощность усилителя:800 Вт + 2x150 Вт
Программная выходная мощность (PROGRAM):
Максимальное звуковое давление:134 дБ
тип динамиков
ВЧ динамик: 
НЧ динамик:15”
Динамик СЧ:
Угол раскрытия:
Размер: 530x470x560 мм
Вес: 26.8
Корпус: 
положение установки
Угол подвеска:
</v>
      </c>
      <c r="AF49" s="89"/>
      <c r="AG49" s="89" t="s">
        <v>1924</v>
      </c>
      <c r="AH49" s="89" t="s">
        <v>1943</v>
      </c>
      <c r="AL49" s="72" t="str">
        <f t="shared" si="0"/>
        <v>MCF SPN-1501L + (800W) Сабвуфер активный</v>
      </c>
      <c r="AM49" s="72" t="str">
        <f t="shared" si="1"/>
        <v>MCF SPN-1501L + (800W) Сабвуфер активный</v>
      </c>
      <c r="AN49" s="72" t="s">
        <v>1840</v>
      </c>
      <c r="AP49" s="72" t="s">
        <v>1837</v>
      </c>
      <c r="AQ49" s="72" t="s">
        <v>1841</v>
      </c>
      <c r="AR49" s="72" t="s">
        <v>1842</v>
      </c>
      <c r="AS49" s="72" t="s">
        <v>1843</v>
      </c>
      <c r="AT49" s="72" t="s">
        <v>1844</v>
      </c>
      <c r="AU49" s="72" t="s">
        <v>1837</v>
      </c>
    </row>
    <row r="50" spans="1:47" ht="50.25" customHeight="1" x14ac:dyDescent="0.25">
      <c r="A50" s="88">
        <v>49</v>
      </c>
      <c r="B50" s="133" t="s">
        <v>1358</v>
      </c>
      <c r="C50" s="133"/>
      <c r="D50" s="94" t="s">
        <v>1322</v>
      </c>
      <c r="E50" s="88"/>
      <c r="F50" s="105" t="s">
        <v>1241</v>
      </c>
      <c r="G50" s="88"/>
      <c r="H50" s="88"/>
      <c r="I50" s="88"/>
      <c r="J50" s="105" t="s">
        <v>1230</v>
      </c>
      <c r="K50" s="105" t="s">
        <v>1142</v>
      </c>
      <c r="L50" s="105" t="s">
        <v>10</v>
      </c>
      <c r="N50" s="105" t="s">
        <v>1233</v>
      </c>
      <c r="O50" s="105" t="s">
        <v>345</v>
      </c>
      <c r="P50" s="105" t="s">
        <v>1204</v>
      </c>
      <c r="Q50" s="105" t="s">
        <v>1236</v>
      </c>
      <c r="R50" s="105"/>
      <c r="S50" s="105" t="s">
        <v>1160</v>
      </c>
      <c r="W50" s="105" t="s">
        <v>1157</v>
      </c>
      <c r="Z50" s="105" t="s">
        <v>1234</v>
      </c>
      <c r="AA50" s="105">
        <v>26.8</v>
      </c>
      <c r="AB50" s="89"/>
      <c r="AC50" s="89"/>
      <c r="AD50" s="89"/>
      <c r="AE50" s="89" t="str">
        <f>CONCATENATE( C1,C50,CHAR(10), D1,D50,CHAR(10), E1,E50,CHAR(10), F1,F50,CHAR(10), G1,G50,CHAR(10), H1,H50,CHAR(10), I1,I50,CHAR(10), J1,J50,CHAR(10), K1,K50,CHAR(10), L1,L50,CHAR(10), M1,M50,CHAR(10), N1,N50,CHAR(10), O1,O50,CHAR(10), P1,P50,CHAR(10), Q1,Q50,CHAR(10), R1,R50,CHAR(10), S1,S50,CHAR(10), U1,U50,CHAR(10), V1,V50,CHAR(10), W1,W50,CHAR(10), X1,X50,CHAR(10), Y1,Y50,CHAR(10), Z1,Z50,CHAR(10), AA1,AA50,CHAR(10), AB1,AB50,CHAR(10), AC1,AC50,CHAR(10), AD1,AD50,CHAR(10), )</f>
        <v xml:space="preserve">Модель
Тип: Сабвуфер активный
Мощность: 
Потребляемая мощностьдо 1800 Вт
Диапазон частот: 
Частотный диапазон (-6дБ):
Частотный диапазон (-10дБ):
Воспроизводимая частота:45 Гц - 1000 Гц (± 3 дБ)
Чувствительность: 98 дБ (1 Вт / 1 м)
Сопротивление: 8 Ом
Драйвер В.Ч.:
Коннектор: XLR-f/m Speakon
Номинальная мощность: 1000 Вт
Максимальная мощность: 2000 Вт
Мощность усилителя:600 Вт + 2x150 Вт
Программная выходная мощность (PROGRAM):
Максимальное звуковое давление:132 дБ
тип динамиков
ВЧ динамик: 
НЧ динамик:15”
Динамик СЧ:
Угол раскрытия:
Размер: 530x470x560 мм
Вес: 26.8
Корпус: 
положение установки
Угол подвеска:
</v>
      </c>
      <c r="AF50" s="89"/>
      <c r="AG50" s="146">
        <v>49900</v>
      </c>
      <c r="AH50" s="89" t="s">
        <v>1191</v>
      </c>
      <c r="AL50" s="72" t="str">
        <f t="shared" si="0"/>
        <v>MCF SPF-1501L + (1000W) Сабвуфер активный</v>
      </c>
      <c r="AM50" s="72" t="str">
        <f t="shared" si="1"/>
        <v>MCF SPF-1501L + (1000W) Сабвуфер активный</v>
      </c>
      <c r="AN50" s="72" t="s">
        <v>1840</v>
      </c>
      <c r="AP50" s="72" t="s">
        <v>1837</v>
      </c>
      <c r="AQ50" s="72" t="s">
        <v>1841</v>
      </c>
      <c r="AR50" s="72" t="s">
        <v>1842</v>
      </c>
      <c r="AS50" s="72" t="s">
        <v>1843</v>
      </c>
      <c r="AT50" s="72" t="s">
        <v>1844</v>
      </c>
      <c r="AU50" s="72" t="s">
        <v>1837</v>
      </c>
    </row>
    <row r="51" spans="1:47" ht="50.25" customHeight="1" x14ac:dyDescent="0.25">
      <c r="A51" s="88">
        <v>50</v>
      </c>
      <c r="B51" s="133" t="s">
        <v>1359</v>
      </c>
      <c r="C51" s="133"/>
      <c r="D51" s="94" t="s">
        <v>1202</v>
      </c>
      <c r="E51" s="88"/>
      <c r="G51" s="88"/>
      <c r="H51" s="88"/>
      <c r="I51" s="88"/>
      <c r="J51" s="105" t="s">
        <v>1203</v>
      </c>
      <c r="K51" s="105" t="s">
        <v>1142</v>
      </c>
      <c r="L51" s="105" t="s">
        <v>1212</v>
      </c>
      <c r="N51" s="105" t="s">
        <v>1131</v>
      </c>
      <c r="O51" s="105" t="s">
        <v>1204</v>
      </c>
      <c r="P51" s="105" t="s">
        <v>1217</v>
      </c>
      <c r="S51" s="105" t="s">
        <v>1160</v>
      </c>
      <c r="W51" s="105" t="s">
        <v>1215</v>
      </c>
      <c r="Z51" s="105" t="s">
        <v>1216</v>
      </c>
      <c r="AA51" s="105">
        <v>82</v>
      </c>
      <c r="AB51" s="89"/>
      <c r="AC51" s="89"/>
      <c r="AD51" s="89"/>
      <c r="AE51" s="89" t="str">
        <f>CONCATENATE( C1,C51,CHAR(10), D1,D51,CHAR(10), E1,E51,CHAR(10), F1,F51,CHAR(10), G1,G51,CHAR(10), H1,H51,CHAR(10), I1,I51,CHAR(10), J1,J51,CHAR(10), K1,K51,CHAR(10), L1,L51,CHAR(10), M1,M51,CHAR(10), N1,N51,CHAR(10), O1,O51,CHAR(10), P1,P51,CHAR(10), Q1,Q51,CHAR(10), R1,R51,CHAR(10), S1,S51,CHAR(10), U1,U51,CHAR(10), V1,V51,CHAR(10), W1,W51,CHAR(10), X1,X51,CHAR(10), Y1,Y51,CHAR(10), Z1,Z51,CHAR(10), AA1,AA51,CHAR(10), AB1,AB51,CHAR(10), AC1,AC51,CHAR(10), AD1,AD51,CHAR(10),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2xСпикон
Номинальная мощность: 2000 Вт
Максимальная мощность: 4000 Вт
Мощность усилителя:
Программная выходная мощность (PROGRAM):
Максимальное звуковое давление:132 дБ
тип динамиков
ВЧ динамик: 
НЧ динамик:18”x2
Динамик СЧ:
Угол раскрытия:
Размер: 960x590x590 мм
Вес: 82
Корпус: 
положение установки
Угол подвеска:
</v>
      </c>
      <c r="AF51" s="89"/>
      <c r="AG51" s="89" t="s">
        <v>1944</v>
      </c>
      <c r="AH51" s="89" t="s">
        <v>1936</v>
      </c>
      <c r="AL51" s="72" t="str">
        <f t="shared" si="0"/>
        <v>MCF SPF-1802L Сабвуфер</v>
      </c>
      <c r="AM51" s="72" t="str">
        <f t="shared" si="1"/>
        <v>MCF SPF-1802L Сабвуфер</v>
      </c>
      <c r="AN51" s="72" t="s">
        <v>1840</v>
      </c>
      <c r="AP51" s="72" t="s">
        <v>1837</v>
      </c>
      <c r="AQ51" s="72" t="s">
        <v>1841</v>
      </c>
      <c r="AR51" s="72" t="s">
        <v>1842</v>
      </c>
      <c r="AS51" s="72" t="s">
        <v>1843</v>
      </c>
      <c r="AT51" s="72" t="s">
        <v>1844</v>
      </c>
      <c r="AU51" s="72" t="s">
        <v>1837</v>
      </c>
    </row>
    <row r="52" spans="1:47" ht="50.25" customHeight="1" x14ac:dyDescent="0.25">
      <c r="A52" s="88">
        <v>51</v>
      </c>
      <c r="B52" s="133" t="s">
        <v>1360</v>
      </c>
      <c r="C52" s="133"/>
      <c r="D52" s="94" t="s">
        <v>1202</v>
      </c>
      <c r="E52" s="88"/>
      <c r="G52" s="88"/>
      <c r="H52" s="88"/>
      <c r="I52" s="88"/>
      <c r="J52" s="105" t="s">
        <v>1203</v>
      </c>
      <c r="K52" s="105" t="s">
        <v>1142</v>
      </c>
      <c r="L52" s="105" t="s">
        <v>1212</v>
      </c>
      <c r="N52" s="105" t="s">
        <v>1131</v>
      </c>
      <c r="O52" s="105" t="s">
        <v>1211</v>
      </c>
      <c r="P52" s="105" t="s">
        <v>1222</v>
      </c>
      <c r="S52" s="105" t="s">
        <v>1158</v>
      </c>
      <c r="W52" s="105" t="s">
        <v>1242</v>
      </c>
      <c r="Z52" s="105" t="s">
        <v>1243</v>
      </c>
      <c r="AA52" s="105">
        <v>68</v>
      </c>
      <c r="AB52" s="89"/>
      <c r="AC52" s="89"/>
      <c r="AD52" s="89"/>
      <c r="AE52" s="89" t="str">
        <f>CONCATENATE( C1,C52,CHAR(10), D1,D52,CHAR(10), E1,E52,CHAR(10), F1,F52,CHAR(10), G1,G52,CHAR(10), H1,H52,CHAR(10), I1,I52,CHAR(10), J1,J52,CHAR(10), K1,K52,CHAR(10), L1,L52,CHAR(10), M1,M52,CHAR(10), N1,N52,CHAR(10), O1,O52,CHAR(10), P1,P52,CHAR(10), Q1,Q52,CHAR(10), R1,R52,CHAR(10), S1,S52,CHAR(10), U1,U52,CHAR(10), V1,V52,CHAR(10), W1,W52,CHAR(10), X1,X52,CHAR(10), Y1,Y52,CHAR(10), Z1,Z52,CHAR(10), AA1,AA52,CHAR(10), AB1,AB52,CHAR(10), AC1,AC52,CHAR(10), AD1,AD52,CHAR(10),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2xСпикон
Номинальная мощность: 2400 Вт
Максимальная мощность: 4800 Вт
Мощность усилителя:
Программная выходная мощность (PROGRAM):
Максимальное звуковое давление:134 дБ
тип динамиков
ВЧ динамик: 
НЧ динамик:18”x2”
Динамик СЧ:
Угол раскрытия:
Размер: 1066x561x780 мм
Вес: 68
Корпус: 
положение установки
Угол подвеска:
</v>
      </c>
      <c r="AF52" s="89"/>
      <c r="AG52" s="89" t="s">
        <v>1941</v>
      </c>
      <c r="AH52" s="89" t="s">
        <v>1940</v>
      </c>
      <c r="AL52" s="72" t="str">
        <f t="shared" si="0"/>
        <v>MCF SPF-1802LNEXT Сабвуфер</v>
      </c>
      <c r="AM52" s="72" t="str">
        <f t="shared" si="1"/>
        <v>MCF SPF-1802LNEXT Сабвуфер</v>
      </c>
      <c r="AN52" s="72" t="s">
        <v>1840</v>
      </c>
      <c r="AP52" s="72" t="s">
        <v>1837</v>
      </c>
      <c r="AQ52" s="72" t="s">
        <v>1841</v>
      </c>
      <c r="AR52" s="72" t="s">
        <v>1842</v>
      </c>
      <c r="AS52" s="72" t="s">
        <v>1843</v>
      </c>
      <c r="AT52" s="72" t="s">
        <v>1844</v>
      </c>
      <c r="AU52" s="72" t="s">
        <v>1837</v>
      </c>
    </row>
    <row r="53" spans="1:47" ht="50.25" customHeight="1" x14ac:dyDescent="0.25">
      <c r="A53" s="88">
        <v>52</v>
      </c>
      <c r="B53" s="133" t="s">
        <v>1361</v>
      </c>
      <c r="C53" s="133"/>
      <c r="D53" s="94" t="s">
        <v>1322</v>
      </c>
      <c r="E53" s="88"/>
      <c r="G53" s="88"/>
      <c r="H53" s="88"/>
      <c r="I53" s="88"/>
      <c r="J53" s="105" t="s">
        <v>1203</v>
      </c>
      <c r="K53" s="105" t="s">
        <v>1142</v>
      </c>
      <c r="L53" s="105" t="s">
        <v>1212</v>
      </c>
      <c r="N53" s="105" t="s">
        <v>1138</v>
      </c>
      <c r="O53" s="105" t="s">
        <v>1204</v>
      </c>
      <c r="P53" s="105" t="s">
        <v>1217</v>
      </c>
      <c r="Q53" s="105" t="s">
        <v>1207</v>
      </c>
      <c r="R53" s="105"/>
      <c r="S53" s="105" t="s">
        <v>1160</v>
      </c>
      <c r="W53" s="105" t="s">
        <v>1215</v>
      </c>
      <c r="Z53" s="105" t="s">
        <v>1244</v>
      </c>
      <c r="AA53" s="105">
        <v>64</v>
      </c>
      <c r="AB53" s="89"/>
      <c r="AC53" s="89"/>
      <c r="AD53" s="89"/>
      <c r="AE53" s="89" t="str">
        <f>CONCATENATE( C1,C53,CHAR(10), D1,D53,CHAR(10), E1,E53,CHAR(10), F1,F53,CHAR(10), G1,G53,CHAR(10), H1,H53,CHAR(10), I1,I53,CHAR(10), J1,J53,CHAR(10), K1,K53,CHAR(10), L1,L53,CHAR(10), M1,M53,CHAR(10), N1,N53,CHAR(10), O1,O53,CHAR(10), P1,P53,CHAR(10), Q1,Q53,CHAR(10), R1,R53,CHAR(10), S1,S53,CHAR(10), U1,U53,CHAR(10), V1,V53,CHAR(10), W1,W53,CHAR(10), X1,X53,CHAR(10), Y1,Y53,CHAR(10), Z1,Z53,CHAR(10), AA1,AA53,CHAR(10), AB1,AB53,CHAR(10), AC1,AC53,CHAR(10), AD1,AD53,CHAR(10), )</f>
        <v xml:space="preserve">Модель
Тип: Сабвуфер активный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XLR-f/m
Номинальная мощность: 2000 Вт
Максимальная мощность: 4000 Вт
Мощность усилителя:3000 Вт
Программная выходная мощность (PROGRAM):
Максимальное звуковое давление:132 дБ
тип динамиков
ВЧ динамик: 
НЧ динамик:18”x2
Динамик СЧ:
Угол раскрытия:
Размер: 1066x562x780 мм
Вес: 64
Корпус: 
положение установки
Угол подвеска:
</v>
      </c>
      <c r="AF53" s="89"/>
      <c r="AG53" s="89" t="s">
        <v>1945</v>
      </c>
      <c r="AH53" s="89" t="s">
        <v>1946</v>
      </c>
      <c r="AL53" s="72" t="str">
        <f t="shared" si="0"/>
        <v>MCF SPF-1802L+ Сабвуфер активный</v>
      </c>
      <c r="AM53" s="72" t="str">
        <f t="shared" si="1"/>
        <v>MCF SPF-1802L+ Сабвуфер активный</v>
      </c>
      <c r="AN53" s="72" t="s">
        <v>1840</v>
      </c>
      <c r="AP53" s="72" t="s">
        <v>1837</v>
      </c>
      <c r="AQ53" s="72" t="s">
        <v>1841</v>
      </c>
      <c r="AR53" s="72" t="s">
        <v>1842</v>
      </c>
      <c r="AS53" s="72" t="s">
        <v>1843</v>
      </c>
      <c r="AT53" s="72" t="s">
        <v>1844</v>
      </c>
      <c r="AU53" s="72" t="s">
        <v>1837</v>
      </c>
    </row>
    <row r="54" spans="1:47" ht="50.25" customHeight="1" x14ac:dyDescent="0.25">
      <c r="A54" s="88">
        <v>53</v>
      </c>
      <c r="B54" s="133" t="s">
        <v>1362</v>
      </c>
      <c r="C54" s="133"/>
      <c r="D54" s="94" t="s">
        <v>1322</v>
      </c>
      <c r="E54" s="88"/>
      <c r="G54" s="88"/>
      <c r="H54" s="88"/>
      <c r="I54" s="88"/>
      <c r="J54" s="105" t="s">
        <v>1203</v>
      </c>
      <c r="K54" s="105" t="s">
        <v>1142</v>
      </c>
      <c r="L54" s="105" t="s">
        <v>1212</v>
      </c>
      <c r="N54" s="105" t="s">
        <v>1138</v>
      </c>
      <c r="O54" s="105" t="s">
        <v>1211</v>
      </c>
      <c r="P54" s="105" t="s">
        <v>1218</v>
      </c>
      <c r="Q54" s="105" t="s">
        <v>1214</v>
      </c>
      <c r="R54" s="105"/>
      <c r="S54" s="105" t="s">
        <v>1158</v>
      </c>
      <c r="W54" s="105" t="s">
        <v>1242</v>
      </c>
      <c r="Z54" s="105" t="s">
        <v>1243</v>
      </c>
      <c r="AA54" s="105">
        <v>68</v>
      </c>
      <c r="AB54" s="89"/>
      <c r="AC54" s="89"/>
      <c r="AD54" s="89"/>
      <c r="AE54" s="89" t="str">
        <f>CONCATENATE( C1,C54,CHAR(10), D1,D54,CHAR(10), E1,E54,CHAR(10), F1,F54,CHAR(10), G1,G54,CHAR(10), H1,H54,CHAR(10), I1,I54,CHAR(10), J1,J54,CHAR(10), K1,K54,CHAR(10), L1,L54,CHAR(10), M1,M54,CHAR(10), N1,N54,CHAR(10), O1,O54,CHAR(10), P1,P54,CHAR(10), Q1,Q54,CHAR(10), R1,R54,CHAR(10), S1,S54,CHAR(10), U1,U54,CHAR(10), V1,V54,CHAR(10), W1,W54,CHAR(10), X1,X54,CHAR(10), Y1,Y54,CHAR(10), Z1,Z54,CHAR(10), AA1,AA54,CHAR(10), AB1,AB54,CHAR(10), AC1,AC54,CHAR(10), AD1,AD54,CHAR(10), )</f>
        <v xml:space="preserve">Модель
Тип: Сабвуфер активный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4 Ом
Драйвер В.Ч.:
Коннектор: XLR-f/m
Номинальная мощность: 2400 Вт
Максимальная мощность: 6000 Вт
Мощность усилителя:3600 Вт
Программная выходная мощность (PROGRAM):
Максимальное звуковое давление:134 дБ
тип динамиков
ВЧ динамик: 
НЧ динамик:18”x2”
Динамик СЧ:
Угол раскрытия:
Размер: 1066x561x780 мм
Вес: 68
Корпус: 
положение установки
Угол подвеска:
</v>
      </c>
      <c r="AF54" s="89"/>
      <c r="AG54" s="89" t="s">
        <v>1947</v>
      </c>
      <c r="AH54" s="89" t="s">
        <v>1948</v>
      </c>
      <c r="AL54" s="72" t="str">
        <f t="shared" si="0"/>
        <v>MCF SPF-1802LNEXT+ Сабвуфер активный</v>
      </c>
      <c r="AM54" s="72" t="str">
        <f t="shared" si="1"/>
        <v>MCF SPF-1802LNEXT+ Сабвуфер активный</v>
      </c>
      <c r="AN54" s="72" t="s">
        <v>1840</v>
      </c>
      <c r="AP54" s="72" t="s">
        <v>1837</v>
      </c>
      <c r="AQ54" s="72" t="s">
        <v>1841</v>
      </c>
      <c r="AR54" s="72" t="s">
        <v>1842</v>
      </c>
      <c r="AS54" s="72" t="s">
        <v>1843</v>
      </c>
      <c r="AT54" s="72" t="s">
        <v>1844</v>
      </c>
      <c r="AU54" s="72" t="s">
        <v>1837</v>
      </c>
    </row>
    <row r="55" spans="1:47" ht="50.25" customHeight="1" x14ac:dyDescent="0.25">
      <c r="A55" s="88">
        <v>54</v>
      </c>
      <c r="B55" s="133" t="s">
        <v>1363</v>
      </c>
      <c r="C55" s="133"/>
      <c r="D55" s="94" t="s">
        <v>1202</v>
      </c>
      <c r="E55" s="88"/>
      <c r="G55" s="88"/>
      <c r="H55" s="88"/>
      <c r="I55" s="88"/>
      <c r="J55" s="105" t="s">
        <v>1245</v>
      </c>
      <c r="K55" s="105" t="s">
        <v>58</v>
      </c>
      <c r="L55" s="105" t="s">
        <v>1212</v>
      </c>
      <c r="N55" s="105" t="s">
        <v>1131</v>
      </c>
      <c r="O55" s="105" t="s">
        <v>1246</v>
      </c>
      <c r="P55" s="105" t="s">
        <v>1222</v>
      </c>
      <c r="R55" s="105" t="s">
        <v>1211</v>
      </c>
      <c r="S55" s="105" t="s">
        <v>1248</v>
      </c>
      <c r="W55" s="105" t="s">
        <v>1215</v>
      </c>
      <c r="Z55" s="105" t="s">
        <v>1249</v>
      </c>
      <c r="AA55" s="105">
        <v>68</v>
      </c>
      <c r="AB55" s="89"/>
      <c r="AC55" s="89"/>
      <c r="AD55" s="89"/>
      <c r="AE55" s="89" t="str">
        <f>CONCATENATE( C1,C55,CHAR(10), D1,D55,CHAR(10), E1,E55,CHAR(10), F1,F55,CHAR(10), G1,G55,CHAR(10), H1,H55,CHAR(10), I1,I55,CHAR(10), J1,J55,CHAR(10), K1,K55,CHAR(10), L1,L55,CHAR(10), M1,M55,CHAR(10), N1,N55,CHAR(10), O1,O55,CHAR(10), P1,P55,CHAR(10), Q1,Q55,CHAR(10), R1,R55,CHAR(10), S1,S55,CHAR(10), U1,U55,CHAR(10), V1,V55,CHAR(10), W1,W55,CHAR(10), X1,X55,CHAR(10), Y1,Y55,CHAR(10), Z1,Z55,CHAR(10), AA1,AA55,CHAR(10), AB1,AB55,CHAR(10), AC1,AC55,CHAR(10), AD1,AD55,CHAR(10), )</f>
        <v xml:space="preserve">Модель
Тип: Сабвуфер
Мощность: 
Потребляемая мощность
Диапазон частот: 
Частотный диапазон (-6дБ):
Частотный диапазон (-10дБ):
Воспроизводимая частота:40 Гц – 200 Гц(± 3 дБ)
Чувствительность: 110 дБ
Сопротивление: 4 Ом
Драйвер В.Ч.:
Коннектор: 2xСпикон
Номинальная мощность: 1200вт
Максимальная мощность: 4800 Вт
Мощность усилителя:
Программная выходная мощность (PROGRAM):2400 Вт
Максимальное звуковое давление:135 дБ
тип динамиков
ВЧ динамик: 
НЧ динамик:18”x2
Динамик СЧ:
Угол раскрытия:
Размер: 960х590х590 мм
Вес: 68
Корпус: 
положение установки
Угол подвеска:
</v>
      </c>
      <c r="AF55" s="89"/>
      <c r="AG55" s="89"/>
      <c r="AH55" s="89" t="s">
        <v>1949</v>
      </c>
      <c r="AL55" s="72" t="str">
        <f t="shared" si="0"/>
        <v>MCF SBN-1802L (2400) Сабвуфер</v>
      </c>
      <c r="AM55" s="72" t="str">
        <f t="shared" si="1"/>
        <v>MCF SBN-1802L (2400) Сабвуфер</v>
      </c>
      <c r="AN55" s="72" t="s">
        <v>1840</v>
      </c>
      <c r="AP55" s="72" t="s">
        <v>1837</v>
      </c>
      <c r="AQ55" s="72" t="s">
        <v>1841</v>
      </c>
      <c r="AR55" s="72" t="s">
        <v>1842</v>
      </c>
      <c r="AS55" s="72" t="s">
        <v>1843</v>
      </c>
      <c r="AT55" s="72" t="s">
        <v>1844</v>
      </c>
      <c r="AU55" s="72" t="s">
        <v>1837</v>
      </c>
    </row>
    <row r="56" spans="1:47" ht="50.25" customHeight="1" x14ac:dyDescent="0.25">
      <c r="A56" s="88">
        <v>55</v>
      </c>
      <c r="B56" s="133" t="s">
        <v>1364</v>
      </c>
      <c r="C56" s="133"/>
      <c r="D56" s="94" t="s">
        <v>1322</v>
      </c>
      <c r="E56" s="88"/>
      <c r="G56" s="88"/>
      <c r="H56" s="88"/>
      <c r="I56" s="88"/>
      <c r="J56" s="105" t="s">
        <v>1203</v>
      </c>
      <c r="K56" s="105" t="s">
        <v>1142</v>
      </c>
      <c r="L56" s="105" t="s">
        <v>10</v>
      </c>
      <c r="N56" s="105" t="s">
        <v>1138</v>
      </c>
      <c r="O56" s="105" t="s">
        <v>1204</v>
      </c>
      <c r="P56" s="105" t="s">
        <v>1217</v>
      </c>
      <c r="Q56" s="105" t="s">
        <v>1207</v>
      </c>
      <c r="S56" s="105" t="s">
        <v>1160</v>
      </c>
      <c r="W56" s="105" t="s">
        <v>1215</v>
      </c>
      <c r="Z56" s="105" t="s">
        <v>1219</v>
      </c>
      <c r="AA56" s="109">
        <v>82</v>
      </c>
      <c r="AB56" s="89"/>
      <c r="AE56" s="88" t="str">
        <f>CONCATENATE( C1,C56,CHAR(10), D1,D56,CHAR(10), E1,E56,CHAR(10), F1,F56,CHAR(10), G1,G56,CHAR(10), H1,H56,CHAR(10), I1,I56,CHAR(10), J1,J56,CHAR(10), K1,K56,CHAR(10), L1,L56,CHAR(10), M1,M56,CHAR(10), N1,N56,CHAR(10), O1,O56,CHAR(10), P1,P56,CHAR(10), Q1,Q56,CHAR(10), R1,R56,CHAR(10), S1,S56,CHAR(10), U1,U56,CHAR(10), V1,V56,CHAR(10), W1,W56,CHAR(10), X1,X56,CHAR(10), Y1,Y56,CHAR(10), Z1,Z56,CHAR(10), AA1,AA56,CHAR(10), AB1,AB56,CHAR(10), AC1,AC56,CHAR(10), AD1,AD56,CHAR(10), )</f>
        <v xml:space="preserve">Модель
Тип: Сабвуфер активный
Мощность: 
Потребляемая мощность
Диапазон частот: 
Частотный диапазон (-6дБ):
Частотный диапазон (-10дБ):
Воспроизводимая частота:40 Гц - 400 Гц (± 3 дБ)
Чувствительность: 98 дБ (1 Вт / 1 м)
Сопротивление: 8 Ом
Драйвер В.Ч.:
Коннектор: XLR-f/m
Номинальная мощность: 2000 Вт
Максимальная мощность: 4000 Вт
Мощность усилителя:3000 Вт
Программная выходная мощность (PROGRAM):
Максимальное звуковое давление:132 дБ
тип динамиков
ВЧ динамик: 
НЧ динамик:18”x2
Динамик СЧ:
Угол раскрытия:
Размер: 950x600x600 мм
Вес: 82
Корпус: 
положение установки
Угол подвеска:
</v>
      </c>
      <c r="AG56" s="89" t="s">
        <v>1945</v>
      </c>
      <c r="AH56" s="89" t="s">
        <v>1946</v>
      </c>
      <c r="AL56" s="72" t="str">
        <f t="shared" si="0"/>
        <v>MCF SBF-1802L+ Сабвуфер активный</v>
      </c>
      <c r="AM56" s="72" t="str">
        <f t="shared" si="1"/>
        <v>MCF SBF-1802L+ Сабвуфер активный</v>
      </c>
      <c r="AN56" s="72" t="s">
        <v>1840</v>
      </c>
      <c r="AP56" s="72" t="s">
        <v>1837</v>
      </c>
      <c r="AQ56" s="72" t="s">
        <v>1841</v>
      </c>
      <c r="AR56" s="72" t="s">
        <v>1842</v>
      </c>
      <c r="AS56" s="72" t="s">
        <v>1843</v>
      </c>
      <c r="AT56" s="72" t="s">
        <v>1844</v>
      </c>
      <c r="AU56" s="72" t="s">
        <v>1837</v>
      </c>
    </row>
    <row r="57" spans="1:47" ht="50.25" customHeight="1" x14ac:dyDescent="0.25">
      <c r="A57" s="88">
        <v>56</v>
      </c>
      <c r="B57" s="133" t="s">
        <v>1323</v>
      </c>
      <c r="C57" s="133"/>
      <c r="D57" s="94" t="s">
        <v>1250</v>
      </c>
      <c r="E57" s="104"/>
      <c r="F57" s="89"/>
      <c r="I57" s="92"/>
      <c r="J57" s="105" t="s">
        <v>1904</v>
      </c>
      <c r="K57" s="105" t="s">
        <v>1253</v>
      </c>
      <c r="L57" s="105" t="s">
        <v>1255</v>
      </c>
      <c r="M57" s="105" t="s">
        <v>1261</v>
      </c>
      <c r="O57" s="105" t="s">
        <v>1256</v>
      </c>
      <c r="P57" s="105" t="s">
        <v>1257</v>
      </c>
      <c r="S57" s="105" t="s">
        <v>1254</v>
      </c>
      <c r="W57" s="105" t="s">
        <v>1251</v>
      </c>
      <c r="X57" s="105" t="s">
        <v>1252</v>
      </c>
      <c r="Z57" s="105" t="s">
        <v>1260</v>
      </c>
      <c r="AA57" s="105" t="s">
        <v>1905</v>
      </c>
      <c r="AB57" s="92"/>
      <c r="AC57" s="92"/>
      <c r="AD57" s="105" t="s">
        <v>1259</v>
      </c>
      <c r="AE57" s="105" t="str">
        <f>CONCATENATE( C1,C57,CHAR(10), D1,D57,CHAR(10), E1,E57,CHAR(10), F1,F57,CHAR(10), G1,G57,CHAR(10), H1,H57,CHAR(10), I1,I57,CHAR(10), J1,J57,CHAR(10), K1,K57,CHAR(10), L1,L57,CHAR(10), M1,M57,CHAR(10), N1,N57,CHAR(10), O1,O57,CHAR(10), P1,P57,CHAR(10), Q1,Q57,CHAR(10), R1,R57,CHAR(10), S1,S57,CHAR(10), U1,U57,CHAR(10), V1,V57,CHAR(10), W1,W57,CHAR(10), X1,X57,CHAR(10), Y1,Y57,CHAR(10), Z1,Z57,CHAR(10), AA1,AA57,CHAR(10), AB1,AB57,CHAR(10), AC1,AC57,CHAR(10), AD1,AD57,CHAR(10),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частота:60 Гц - 20ц (± 5 дБ)
Чувствительность: Н.Ч.: 103 дБ; С.Ч.: 106 дБ; В.Ч.: 110 дБ
Сопротивление: 4 Ом &amp; 16 Ом
Драйвер В.Ч.:1.75"x2 или 2"x2 (по желанию заказчика)
Коннектор: 
Номинальная мощность: Н.Ч.: 2х400 Вт; С.Ч.: 2х150 Вт; В.Ч.:2х150 Вт
Максимальная мощность: Н.Ч.: 2х800 Вт; С.Ч.: 2х300 Вт; В.Ч.: 2х300 Вт
Мощность усилителя:
Программная выходная мощность (PROGRAM):
Максимальное звуковое давление:Н.Ч.: 130 дБ; С.Ч.: 133 дБ; В.Ч.: 137 дБ
тип динамиков
ВЧ динамик: 
НЧ динамик:12"x2
Динамик СЧ:8"x2
Угол раскрытия:
Размер: 1045х390х650
Вес: 58 - 63
Корпус: 
положение установки
Угол подвеска: 0°, 2°, 4°, 6°, 8°, 10°, 12°, 15°
</v>
      </c>
      <c r="AF57" s="105"/>
      <c r="AH57" s="92"/>
      <c r="AI57" s="92" t="s">
        <v>1935</v>
      </c>
      <c r="AJ57" s="148">
        <v>149900</v>
      </c>
      <c r="AL57" s="72" t="str">
        <f t="shared" si="0"/>
        <v>MCF VF-1202L элемент линейного массива</v>
      </c>
      <c r="AM57" s="72" t="str">
        <f t="shared" si="1"/>
        <v>MCF VF-1202L элемент линейного массива</v>
      </c>
      <c r="AN57" s="72" t="s">
        <v>1840</v>
      </c>
      <c r="AP57" s="72" t="s">
        <v>1837</v>
      </c>
      <c r="AQ57" s="72" t="s">
        <v>1841</v>
      </c>
      <c r="AR57" s="72" t="s">
        <v>1842</v>
      </c>
      <c r="AS57" s="72" t="s">
        <v>1843</v>
      </c>
      <c r="AT57" s="72" t="s">
        <v>1844</v>
      </c>
      <c r="AU57" s="72" t="s">
        <v>1837</v>
      </c>
    </row>
    <row r="58" spans="1:47" ht="50.25" customHeight="1" x14ac:dyDescent="0.25">
      <c r="A58" s="88">
        <v>57</v>
      </c>
      <c r="B58" s="133" t="s">
        <v>1324</v>
      </c>
      <c r="C58" s="133"/>
      <c r="D58" s="94" t="s">
        <v>1250</v>
      </c>
      <c r="E58" s="88"/>
      <c r="F58" s="90"/>
      <c r="G58" s="88"/>
      <c r="H58" s="92"/>
      <c r="I58" s="92"/>
      <c r="J58" s="105" t="s">
        <v>1904</v>
      </c>
      <c r="K58" s="105" t="s">
        <v>1253</v>
      </c>
      <c r="L58" s="105" t="s">
        <v>1255</v>
      </c>
      <c r="M58" s="105" t="s">
        <v>1261</v>
      </c>
      <c r="O58" s="105" t="s">
        <v>1256</v>
      </c>
      <c r="P58" s="105" t="s">
        <v>1257</v>
      </c>
      <c r="S58" s="105" t="s">
        <v>1254</v>
      </c>
      <c r="W58" s="105" t="s">
        <v>1251</v>
      </c>
      <c r="X58" s="105" t="s">
        <v>1252</v>
      </c>
      <c r="Z58" s="105" t="s">
        <v>1260</v>
      </c>
      <c r="AA58" s="105" t="s">
        <v>1906</v>
      </c>
      <c r="AB58" s="98"/>
      <c r="AC58" s="112"/>
      <c r="AD58" s="105" t="s">
        <v>1259</v>
      </c>
      <c r="AE58" s="105" t="str">
        <f>CONCATENATE( C1,C58,CHAR(10), D1,D58,CHAR(10), E1,E58,CHAR(10), F1,F58,CHAR(10), G1,G58,CHAR(10), H1,H58,CHAR(10), I1,I58,CHAR(10), J1,J58,CHAR(10), K1,K58,CHAR(10), L1,L58,CHAR(10), M1,M58,CHAR(10), N1,N58,CHAR(10), O1,O58,CHAR(10), P1,P58,CHAR(10), Q1,Q58,CHAR(10), R1,R58,CHAR(10), S1,S58,CHAR(10), U1,U58,CHAR(10), V1,V58,CHAR(10), W1,W58,CHAR(10), X1,X58,CHAR(10), Y1,Y58,CHAR(10), Z1,Z58,CHAR(10), AA1,AA58,CHAR(10), AB1,AB58,CHAR(10), AC1,AC58,CHAR(10), AD1,AD58,CHAR(10),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частота:60 Гц - 20ц (± 5 дБ)
Чувствительность: Н.Ч.: 103 дБ; С.Ч.: 106 дБ; В.Ч.: 110 дБ
Сопротивление: 4 Ом &amp; 16 Ом
Драйвер В.Ч.:1.75"x2 или 2"x2 (по желанию заказчика)
Коннектор: 
Номинальная мощность: Н.Ч.: 2х400 Вт; С.Ч.: 2х150 Вт; В.Ч.:2х150 Вт
Максимальная мощность: Н.Ч.: 2х800 Вт; С.Ч.: 2х300 Вт; В.Ч.: 2х300 Вт
Мощность усилителя:
Программная выходная мощность (PROGRAM):
Максимальное звуковое давление:Н.Ч.: 130 дБ; С.Ч.: 133 дБ; В.Ч.: 137 дБ
тип динамиков
ВЧ динамик: 
НЧ динамик:12"x2
Динамик СЧ:8"x2
Угол раскрытия:
Размер: 1045х390х650
Вес: 59 - 64
Корпус: 
положение установки
Угол подвеска: 0°, 2°, 4°, 6°, 8°, 10°, 12°, 15°
</v>
      </c>
      <c r="AF58" s="105"/>
      <c r="AI58" s="148">
        <v>149000</v>
      </c>
      <c r="AJ58" s="148">
        <v>169000</v>
      </c>
      <c r="AL58" s="72" t="str">
        <f t="shared" si="0"/>
        <v>MCF VN-1202L элемент линейного массива</v>
      </c>
      <c r="AM58" s="72" t="str">
        <f t="shared" si="1"/>
        <v>MCF VN-1202L элемент линейного массива</v>
      </c>
      <c r="AN58" s="72" t="s">
        <v>1840</v>
      </c>
      <c r="AP58" s="72" t="s">
        <v>1837</v>
      </c>
      <c r="AQ58" s="72" t="s">
        <v>1841</v>
      </c>
      <c r="AR58" s="72" t="s">
        <v>1842</v>
      </c>
      <c r="AS58" s="72" t="s">
        <v>1843</v>
      </c>
      <c r="AT58" s="72" t="s">
        <v>1844</v>
      </c>
      <c r="AU58" s="72" t="s">
        <v>1837</v>
      </c>
    </row>
    <row r="59" spans="1:47" ht="50.25" customHeight="1" x14ac:dyDescent="0.25">
      <c r="A59" s="88">
        <v>58</v>
      </c>
      <c r="B59" s="133" t="s">
        <v>1325</v>
      </c>
      <c r="C59" s="133"/>
      <c r="D59" s="94" t="s">
        <v>1250</v>
      </c>
      <c r="E59" s="88"/>
      <c r="G59" s="88"/>
      <c r="H59" s="92"/>
      <c r="I59" s="92"/>
      <c r="J59" s="105" t="s">
        <v>1907</v>
      </c>
      <c r="K59" s="105" t="s">
        <v>1253</v>
      </c>
      <c r="L59" s="105" t="s">
        <v>1255</v>
      </c>
      <c r="M59" s="105" t="s">
        <v>1261</v>
      </c>
      <c r="O59" s="105" t="s">
        <v>1256</v>
      </c>
      <c r="P59" s="105" t="s">
        <v>1257</v>
      </c>
      <c r="S59" s="105" t="s">
        <v>1254</v>
      </c>
      <c r="U59" s="105" t="s">
        <v>1262</v>
      </c>
      <c r="W59" s="105" t="s">
        <v>1251</v>
      </c>
      <c r="X59" s="105" t="s">
        <v>1263</v>
      </c>
      <c r="Z59" s="105" t="s">
        <v>1260</v>
      </c>
      <c r="AA59" s="105" t="s">
        <v>1908</v>
      </c>
      <c r="AB59" s="98"/>
      <c r="AC59" s="98"/>
      <c r="AD59" s="105" t="s">
        <v>1259</v>
      </c>
      <c r="AE59" s="105" t="str">
        <f>CONCATENATE( C1,C59,CHAR(10), D1,D59,CHAR(10), E1,E59,CHAR(10), F1,F59,CHAR(10), G1,G59,CHAR(10), H1,H59,CHAR(10), I1,I59,CHAR(10), J1,J59,CHAR(10), K1,K59,CHAR(10), L1,L59,CHAR(10), M1,M59,CHAR(10), N1,N59,CHAR(10), O1,O59,CHAR(10), P1,P59,CHAR(10), Q1,Q59,CHAR(10), R1,R59,CHAR(10), S1,S59,CHAR(10), U1,U59,CHAR(10), V1,V59,CHAR(10), W1,W59,CHAR(10), X1,X59,CHAR(10), Y1,Y59,CHAR(10), Z1,Z59,CHAR(10), AA1,AA59,CHAR(10), AB1,AB59,CHAR(10), AC1,AC59,CHAR(10), AD1,AD59,CHAR(10),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частота:60 Гц - 18ц (± 5 дБ)
Чувствительность: Н.Ч.: 103 дБ; С.Ч.: 106 дБ; В.Ч.: 110 дБ
Сопротивление: 4 Ом &amp; 16 Ом
Драйвер В.Ч.:1.75"x2 или 2"x2 (по желанию заказчика)
Коннектор: 
Номинальная мощность: Н.Ч.: 2х400 Вт; С.Ч.: 2х150 Вт; В.Ч.:2х150 Вт
Максимальная мощность: Н.Ч.: 2х800 Вт; С.Ч.: 2х300 Вт; В.Ч.: 2х300 Вт
Мощность усилителя:
Программная выходная мощность (PROGRAM):
Максимальное звуковое давление:Н.Ч.: 130 дБ; С.Ч.: 133 дБ; В.Ч.: 137 дБ
тип динамиковФеромагнит
ВЧ динамик: 
НЧ динамик:12"x2
Динамик СЧ:6"x2 по желанию заказчика
Угол раскрытия:
Размер: 1045х390х650
Вес: 54 - 59
Корпус: 
положение установки
Угол подвеска: 0°, 2°, 4°, 6°, 8°, 10°, 12°, 15°
</v>
      </c>
      <c r="AF59" s="105"/>
      <c r="AI59" s="92" t="s">
        <v>1950</v>
      </c>
      <c r="AJ59" s="148">
        <v>129900</v>
      </c>
      <c r="AL59" s="72" t="str">
        <f t="shared" si="0"/>
        <v>MCF VF-1202J элемент линейного массива</v>
      </c>
      <c r="AM59" s="72" t="str">
        <f t="shared" si="1"/>
        <v>MCF VF-1202J элемент линейного массива</v>
      </c>
      <c r="AN59" s="72" t="s">
        <v>1840</v>
      </c>
      <c r="AP59" s="72" t="s">
        <v>1837</v>
      </c>
      <c r="AQ59" s="72" t="s">
        <v>1841</v>
      </c>
      <c r="AR59" s="72" t="s">
        <v>1842</v>
      </c>
      <c r="AS59" s="72" t="s">
        <v>1843</v>
      </c>
      <c r="AT59" s="72" t="s">
        <v>1844</v>
      </c>
      <c r="AU59" s="72" t="s">
        <v>1837</v>
      </c>
    </row>
    <row r="60" spans="1:47" ht="50.25" customHeight="1" x14ac:dyDescent="0.25">
      <c r="A60" s="88">
        <v>59</v>
      </c>
      <c r="B60" s="133" t="s">
        <v>1326</v>
      </c>
      <c r="C60" s="133"/>
      <c r="D60" s="94" t="s">
        <v>1250</v>
      </c>
      <c r="E60" s="88"/>
      <c r="F60" s="90"/>
      <c r="G60" s="88"/>
      <c r="H60" s="92"/>
      <c r="I60" s="92"/>
      <c r="J60" s="105" t="s">
        <v>1909</v>
      </c>
      <c r="K60" s="88"/>
      <c r="L60" s="105" t="s">
        <v>1265</v>
      </c>
      <c r="M60" s="105" t="s">
        <v>1328</v>
      </c>
      <c r="N60" s="105" t="s">
        <v>1269</v>
      </c>
      <c r="O60" s="105" t="s">
        <v>1266</v>
      </c>
      <c r="P60" s="105" t="s">
        <v>1267</v>
      </c>
      <c r="S60" s="105" t="s">
        <v>1264</v>
      </c>
      <c r="W60" s="105" t="s">
        <v>1327</v>
      </c>
      <c r="Y60" s="105" t="s">
        <v>1268</v>
      </c>
      <c r="Z60" s="105" t="s">
        <v>1270</v>
      </c>
      <c r="AA60" s="105" t="s">
        <v>1910</v>
      </c>
      <c r="AD60" s="105" t="s">
        <v>1259</v>
      </c>
      <c r="AE60" s="105" t="str">
        <f>CONCATENATE( C1,C60,CHAR(10), D1,D60,CHAR(10), E1,E60,CHAR(10), F1,F60,CHAR(10), G1,G60,CHAR(10), H1,H60,CHAR(10), I1,I60,CHAR(10), J1,J60,CHAR(10), K1,K60,CHAR(10), L1,L60,CHAR(10), M1,M60,CHAR(10), N1,N60,CHAR(10), O1,O60,CHAR(10), P1,P60,CHAR(10), Q1,Q60,CHAR(10), R1,R60,CHAR(10), S1,S60,CHAR(10), U1,U60,CHAR(10), V1,V60,CHAR(10), W1,W60,CHAR(10), X1,X60,CHAR(10), Y1,Y60,CHAR(10), Z1,Z60,CHAR(10), AA1,AA60,CHAR(10), AB1,AB60,CHAR(10), AC1,AC60,CHAR(10), AD1,AD60,CHAR(10),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 70 Гц - 18ц (± 5 дБ)
Чувствительность: 
Сопротивление:  4 Ом &amp; 16 Ом
Драйвер В.Ч.:Неодимовый, 2.0”
Коннектор:  2х Спикон
Номинальная мощность:  500 Вт
Максимальная мощность:  1200 Вт
Мощность усилителя:
Программная выходная мощность (PROGRAM):
Максимальное звуковое давление: 138 дБ
тип динамиков
ВЧ динамик: 
НЧ динамик:Неодимовый, 10"x2 
Динамик СЧ:
Угол раскрытия: 100х15°; 100х10°; 90х10°; 90х5о
Размер:  580x412x338 мм
Вес:  20,5
Корпус: 
положение установки
Угол подвеска: 0°, 2°, 4°, 6°, 8°, 10°, 12°, 15°
</v>
      </c>
      <c r="AF60" s="105"/>
      <c r="AI60" s="92" t="s">
        <v>1846</v>
      </c>
      <c r="AJ60" s="148">
        <v>89900</v>
      </c>
      <c r="AL60" s="72" t="str">
        <f t="shared" si="0"/>
        <v>MCF VN-1002L элемент линейного массива</v>
      </c>
      <c r="AM60" s="72" t="str">
        <f t="shared" si="1"/>
        <v>MCF VN-1002L элемент линейного массива</v>
      </c>
      <c r="AN60" s="72" t="s">
        <v>1840</v>
      </c>
      <c r="AP60" s="72" t="s">
        <v>1837</v>
      </c>
      <c r="AQ60" s="72" t="s">
        <v>1841</v>
      </c>
      <c r="AR60" s="72" t="s">
        <v>1842</v>
      </c>
      <c r="AS60" s="72" t="s">
        <v>1843</v>
      </c>
      <c r="AT60" s="72" t="s">
        <v>1844</v>
      </c>
      <c r="AU60" s="72" t="s">
        <v>1837</v>
      </c>
    </row>
    <row r="61" spans="1:47" ht="50.25" customHeight="1" x14ac:dyDescent="0.25">
      <c r="A61" s="88">
        <v>60</v>
      </c>
      <c r="B61" s="133" t="s">
        <v>1329</v>
      </c>
      <c r="C61" s="133"/>
      <c r="D61" s="94" t="s">
        <v>1250</v>
      </c>
      <c r="E61" s="105"/>
      <c r="F61" s="90"/>
      <c r="G61" s="98"/>
      <c r="H61" s="98"/>
      <c r="I61" s="98"/>
      <c r="J61" s="105" t="s">
        <v>1911</v>
      </c>
      <c r="K61" s="98"/>
      <c r="L61" s="105" t="s">
        <v>1265</v>
      </c>
      <c r="M61" s="105" t="s">
        <v>1272</v>
      </c>
      <c r="N61" s="105" t="s">
        <v>1276</v>
      </c>
      <c r="O61" s="105" t="s">
        <v>1273</v>
      </c>
      <c r="P61" s="105" t="s">
        <v>1274</v>
      </c>
      <c r="S61" s="105" t="s">
        <v>1264</v>
      </c>
      <c r="W61" s="105" t="s">
        <v>1271</v>
      </c>
      <c r="Y61" s="105" t="s">
        <v>1268</v>
      </c>
      <c r="Z61" s="105" t="s">
        <v>1270</v>
      </c>
      <c r="AA61" s="105" t="s">
        <v>1912</v>
      </c>
      <c r="AD61" s="105" t="s">
        <v>1275</v>
      </c>
      <c r="AE61" s="105" t="str">
        <f>CONCATENATE( C1,C61,CHAR(10), D1,D61,CHAR(10), E1,E61,CHAR(10), F1,F61,CHAR(10), G1,G61,CHAR(10), H1,H61,CHAR(10), I1,I61,CHAR(10), J1,J61,CHAR(10), K1,K61,CHAR(10), L1,L61,CHAR(10), M1,M61,CHAR(10), N1,N61,CHAR(10), O1,O61,CHAR(10), P1,P61,CHAR(10), Q1,Q61,CHAR(10), R1,R61,CHAR(10), S1,S61,CHAR(10), U1,U61,CHAR(10), V1,V61,CHAR(10), W1,W61,CHAR(10), X1,X61,CHAR(10), Y1,Y61,CHAR(10), Z1,Z61,CHAR(10), AA1,AA61,CHAR(10), AB1,AB61,CHAR(10), AC1,AC61,CHAR(10), AD1,AD61,CHAR(10),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 70 Гц - 20ц (± 5 дБ)
Чувствительность: 
Сопротивление:  4 Ом &amp; 16 Ом
Драйвер В.Ч.:Неодимовый, 2.0”
Коннектор: 2х Спикон
Номинальная мощность:  700 Вт
Максимальная мощность:  1800 Вт
Мощность усилителя:
Программная выходная мощность (PROGRAM):
Максимальное звуковое давление: 138 дБ
тип динамиков
ВЧ динамик: 
НЧ динамик:Неодимовый, 10"x2 
Динамик СЧ:
Угол раскрытия: 100х15°; 100х10°; 90х10°; 90х5о
Размер:  580x412x338 мм
Вес:  21,5
Корпус: 
положение установки
Угол подвеска: 0°, 2°, 4°, 6°, 8°, 10°, 12°, 15° 
</v>
      </c>
      <c r="AF61" s="105"/>
      <c r="AI61" s="148">
        <v>89900</v>
      </c>
      <c r="AJ61" s="148">
        <v>109900</v>
      </c>
      <c r="AL61" s="72" t="str">
        <f t="shared" si="0"/>
        <v>MCF VN-1002L NEXT элемент линейного массива</v>
      </c>
      <c r="AM61" s="72" t="str">
        <f t="shared" si="1"/>
        <v>MCF VN-1002L NEXT элемент линейного массива</v>
      </c>
      <c r="AN61" s="72" t="s">
        <v>1840</v>
      </c>
      <c r="AP61" s="72" t="s">
        <v>1837</v>
      </c>
      <c r="AQ61" s="72" t="s">
        <v>1841</v>
      </c>
      <c r="AR61" s="72" t="s">
        <v>1842</v>
      </c>
      <c r="AS61" s="72" t="s">
        <v>1843</v>
      </c>
      <c r="AT61" s="72" t="s">
        <v>1844</v>
      </c>
      <c r="AU61" s="72" t="s">
        <v>1837</v>
      </c>
    </row>
    <row r="62" spans="1:47" ht="50.25" customHeight="1" x14ac:dyDescent="0.25">
      <c r="A62" s="88">
        <v>61</v>
      </c>
      <c r="B62" s="133" t="s">
        <v>1330</v>
      </c>
      <c r="C62" s="133"/>
      <c r="D62" s="94" t="s">
        <v>1250</v>
      </c>
      <c r="E62" s="88"/>
      <c r="F62" s="90"/>
      <c r="G62" s="88"/>
      <c r="H62" s="92"/>
      <c r="I62" s="92"/>
      <c r="J62" s="105" t="s">
        <v>1913</v>
      </c>
      <c r="K62" s="105" t="s">
        <v>1278</v>
      </c>
      <c r="L62" s="105" t="s">
        <v>1255</v>
      </c>
      <c r="M62" s="105" t="s">
        <v>1277</v>
      </c>
      <c r="N62" s="105" t="s">
        <v>1276</v>
      </c>
      <c r="O62" s="105" t="s">
        <v>1279</v>
      </c>
      <c r="P62" s="105" t="s">
        <v>1280</v>
      </c>
      <c r="S62" s="105" t="s">
        <v>1160</v>
      </c>
      <c r="U62" s="105" t="s">
        <v>1262</v>
      </c>
      <c r="W62" s="105" t="s">
        <v>1252</v>
      </c>
      <c r="Y62" s="105" t="s">
        <v>1281</v>
      </c>
      <c r="Z62" s="105" t="s">
        <v>1283</v>
      </c>
      <c r="AA62" s="105" t="s">
        <v>1914</v>
      </c>
      <c r="AD62" s="105" t="s">
        <v>1282</v>
      </c>
      <c r="AE62" s="105" t="str">
        <f>CONCATENATE( C1,C62,CHAR(10), D1,D62,CHAR(10), E1,E62,CHAR(10), F1,F62,CHAR(10), G1,G62,CHAR(10), H1,H62,CHAR(10), I1,I62,CHAR(10), J1,J62,CHAR(10), K1,K62,CHAR(10), L1,L62,CHAR(10), M1,M62,CHAR(10), N1,N62,CHAR(10), O1,O62,CHAR(10), P1,P62,CHAR(10), Q1,Q62,CHAR(10), R1,R62,CHAR(10), S1,S62,CHAR(10), U1,U62,CHAR(10), V1,V62,CHAR(10), W1,W62,CHAR(10), X1,X62,CHAR(10), Y1,Y62,CHAR(10), Z1,Z62,CHAR(10), AA1,AA62,CHAR(10), AB1,AB62,CHAR(10), AC1,AC62,CHAR(10), AD1,AD62,CHAR(10),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частота:70 Гц - 20ц (± 5 дБ)
Чувствительность: Н.Ч.: 99 дБ; В.Ч.: 111 дБ
Сопротивление: 4 Ом &amp; 16 Ом
Драйвер В.Ч.:1.75” &amp; 1.35” 
Коннектор: 2х Спикон
Номинальная мощность: Н.Ч.: 2х150 Вт; В.Ч.: 2х80 Вт
Максимальная мощность: Н.Ч.: 2х300 Вт; В.Ч.: 2х160 Вт
Мощность усилителя:
Программная выходная мощность (PROGRAM):
Максимальное звуковое давление:132 дБ
тип динамиковФеромагнит
ВЧ динамик: 
НЧ динамик:8"x2
Динамик СЧ:
Угол раскрытия:100х15°; 100х10°; 90х10°; 90х5о
Размер: 580x412x338 мм
Вес: 19,5
Корпус: 
положение установки
Угол подвеска:0°, 2°, 4°, 6°, 8°, 10°, 12°, 15°
</v>
      </c>
      <c r="AF62" s="105"/>
      <c r="AI62" s="92" t="s">
        <v>1927</v>
      </c>
      <c r="AJ62" s="148">
        <v>79900</v>
      </c>
      <c r="AL62" s="72" t="str">
        <f t="shared" si="0"/>
        <v>MCF VF-802L элемент линейного массива</v>
      </c>
      <c r="AM62" s="72" t="str">
        <f t="shared" si="1"/>
        <v>MCF VF-802L элемент линейного массива</v>
      </c>
      <c r="AN62" s="72" t="s">
        <v>1840</v>
      </c>
      <c r="AP62" s="72" t="s">
        <v>1837</v>
      </c>
      <c r="AQ62" s="72" t="s">
        <v>1841</v>
      </c>
      <c r="AR62" s="72" t="s">
        <v>1842</v>
      </c>
      <c r="AS62" s="72" t="s">
        <v>1843</v>
      </c>
      <c r="AT62" s="72" t="s">
        <v>1844</v>
      </c>
      <c r="AU62" s="72" t="s">
        <v>1837</v>
      </c>
    </row>
    <row r="63" spans="1:47" ht="50.25" customHeight="1" x14ac:dyDescent="0.25">
      <c r="A63" s="88">
        <v>62</v>
      </c>
      <c r="B63" s="133" t="s">
        <v>1331</v>
      </c>
      <c r="C63" s="133"/>
      <c r="D63" s="94" t="s">
        <v>1250</v>
      </c>
      <c r="E63" s="88"/>
      <c r="F63" s="90"/>
      <c r="G63" s="88"/>
      <c r="H63" s="92"/>
      <c r="I63" s="92"/>
      <c r="J63" s="105" t="s">
        <v>1913</v>
      </c>
      <c r="K63" s="105" t="s">
        <v>1278</v>
      </c>
      <c r="L63" s="105" t="s">
        <v>1255</v>
      </c>
      <c r="M63" s="105" t="s">
        <v>1285</v>
      </c>
      <c r="O63" s="105" t="s">
        <v>1286</v>
      </c>
      <c r="P63" s="105" t="s">
        <v>1287</v>
      </c>
      <c r="S63" s="105" t="s">
        <v>1158</v>
      </c>
      <c r="W63" s="105" t="s">
        <v>1284</v>
      </c>
      <c r="Y63" s="109" t="s">
        <v>1281</v>
      </c>
      <c r="Z63" s="105" t="s">
        <v>1283</v>
      </c>
      <c r="AA63" s="105">
        <v>19.5</v>
      </c>
      <c r="AB63" s="98"/>
      <c r="AD63" s="105" t="s">
        <v>1282</v>
      </c>
      <c r="AE63" s="105" t="str">
        <f>CONCATENATE( C1,C63,CHAR(10), D1,D63,CHAR(10), E1,E63,CHAR(10), F1,F63,CHAR(10), G1,G63,CHAR(10), H1,H63,CHAR(10), I1,I63,CHAR(10), J1,J63,CHAR(10), K1,K63,CHAR(10), L1,L63,CHAR(10), M1,M63,CHAR(10), N1,N63,CHAR(10), O1,O63,CHAR(10), P1,P63,CHAR(10), Q1,Q63,CHAR(10), R1,R63,CHAR(10), S1,S63,CHAR(10), U1,U63,CHAR(10), V1,V63,CHAR(10), W1,W63,CHAR(10), X1,X63,CHAR(10), Y1,Y63,CHAR(10), Z1,Z63,CHAR(10), AA1,AA63,CHAR(10), AB1,AB63,CHAR(10), AC1,AC63,CHAR(10), AD1,AD63,CHAR(10),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частота:70 Гц - 20ц (± 5 дБ)
Чувствительность: Н.Ч.: 99 дБ; В.Ч.: 111 дБ
Сопротивление: 4 Ом &amp; 16 Ом
Драйвер В.Ч.:Неодимовый, 1.35"/1.75" по желанию заказчика
Коннектор: 
Номинальная мощность: Н.Ч.: 2х200 Вт; В.Ч.: 2х80 Вт
Максимальная мощность: Н.Ч.: 2х400 Вт; В.Ч.: 2х160 Вт
Мощность усилителя:
Программная выходная мощность (PROGRAM):
Максимальное звуковое давление:134 дБ
тип динамиков
ВЧ динамик: 
НЧ динамик:Неодимовый, 8"x2
Динамик СЧ:
Угол раскрытия:100х15°; 100х10°; 90х10°; 90х5о
Размер: 580x412x338 мм
Вес: 19.5
Корпус: 
положение установки
Угол подвеска:0°, 2°, 4°, 6°, 8°, 10°, 12°, 15°
</v>
      </c>
      <c r="AF63" s="105"/>
      <c r="AI63" s="148">
        <v>69900</v>
      </c>
      <c r="AJ63" s="148">
        <v>89900</v>
      </c>
      <c r="AL63" s="72" t="str">
        <f t="shared" si="0"/>
        <v>MCF VN-802L элемент линейного массива</v>
      </c>
      <c r="AM63" s="72" t="str">
        <f t="shared" si="1"/>
        <v>MCF VN-802L элемент линейного массива</v>
      </c>
      <c r="AN63" s="72" t="s">
        <v>1840</v>
      </c>
      <c r="AP63" s="72" t="s">
        <v>1837</v>
      </c>
      <c r="AQ63" s="72" t="s">
        <v>1841</v>
      </c>
      <c r="AR63" s="72" t="s">
        <v>1842</v>
      </c>
      <c r="AS63" s="72" t="s">
        <v>1843</v>
      </c>
      <c r="AT63" s="72" t="s">
        <v>1844</v>
      </c>
      <c r="AU63" s="72" t="s">
        <v>1837</v>
      </c>
    </row>
    <row r="64" spans="1:47" ht="50.25" customHeight="1" x14ac:dyDescent="0.25">
      <c r="A64" s="88">
        <v>63</v>
      </c>
      <c r="B64" s="133" t="s">
        <v>1332</v>
      </c>
      <c r="C64" s="133"/>
      <c r="D64" s="94" t="s">
        <v>1250</v>
      </c>
      <c r="E64" s="88"/>
      <c r="F64" s="90"/>
      <c r="G64" s="88"/>
      <c r="H64" s="92"/>
      <c r="I64" s="92"/>
      <c r="J64" s="105" t="s">
        <v>1913</v>
      </c>
      <c r="K64" s="105" t="s">
        <v>1278</v>
      </c>
      <c r="L64" s="105" t="s">
        <v>1255</v>
      </c>
      <c r="M64" s="105" t="s">
        <v>1134</v>
      </c>
      <c r="O64" s="105" t="s">
        <v>1288</v>
      </c>
      <c r="P64" s="105" t="s">
        <v>1289</v>
      </c>
      <c r="S64" s="105" t="s">
        <v>1137</v>
      </c>
      <c r="U64" s="105" t="s">
        <v>1262</v>
      </c>
      <c r="W64" s="105" t="s">
        <v>1252</v>
      </c>
      <c r="Y64" s="109" t="s">
        <v>1281</v>
      </c>
      <c r="Z64" s="105" t="s">
        <v>1283</v>
      </c>
      <c r="AA64" s="105">
        <v>17.5</v>
      </c>
      <c r="AB64" s="98"/>
      <c r="AC64" s="98"/>
      <c r="AD64" s="105" t="s">
        <v>1282</v>
      </c>
      <c r="AE64" s="105" t="str">
        <f>CONCATENATE( C1,C64,CHAR(10), D1,D64,CHAR(10), E1,E64,CHAR(10), F1,F64,CHAR(10), G1,G64,CHAR(10), H1,H64,CHAR(10), I1,I64,CHAR(10), J1,J64,CHAR(10), K1,K64,CHAR(10), L1,L64,CHAR(10), M1,M64,CHAR(10), N1,N64,CHAR(10), O1,O64,CHAR(10), P1,P64,CHAR(10), Q1,Q64,CHAR(10), R1,R64,CHAR(10), S1,S64,CHAR(10), U1,U64,CHAR(10), V1,V64,CHAR(10), W1,W64,CHAR(10), X1,X64,CHAR(10), Y1,Y64,CHAR(10), Z1,Z64,CHAR(10), AA1,AA64,CHAR(10), AB1,AB64,CHAR(10), AC1,AC64,CHAR(10), AD1,AD64,CHAR(10),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частота:70 Гц - 20ц (± 5 дБ)
Чувствительность: Н.Ч.: 99 дБ; В.Ч.: 111 дБ
Сопротивление: 4 Ом &amp; 16 Ом
Драйвер В.Ч.:1.35”
Коннектор: 
Номинальная мощность: Н.Ч.: 2х100 Вт; В.Ч.: 2х80 Вт
Максимальная мощность: Н.Ч.: 2х200 Вт; В.Ч.: 2х160 Вт
Мощность усилителя:
Программная выходная мощность (PROGRAM):
Максимальное звуковое давление:128 дБ
тип динамиковФеромагнит
ВЧ динамик: 
НЧ динамик:8"x2
Динамик СЧ:
Угол раскрытия:100х15°; 100х10°; 90х10°; 90х5о
Размер: 580x412x338 мм
Вес: 17.5
Корпус: 
положение установки
Угол подвеска:0°, 2°, 4°, 6°, 8°, 10°, 12°, 15°
</v>
      </c>
      <c r="AF64" s="105"/>
      <c r="AI64" s="92" t="s">
        <v>1850</v>
      </c>
      <c r="AJ64" s="148">
        <v>74900</v>
      </c>
      <c r="AL64" s="72" t="str">
        <f t="shared" si="0"/>
        <v>MCF VF-802J элемент линейного массива</v>
      </c>
      <c r="AM64" s="72" t="str">
        <f t="shared" si="1"/>
        <v>MCF VF-802J элемент линейного массива</v>
      </c>
      <c r="AN64" s="72" t="s">
        <v>1840</v>
      </c>
      <c r="AP64" s="72" t="s">
        <v>1837</v>
      </c>
      <c r="AQ64" s="72" t="s">
        <v>1841</v>
      </c>
      <c r="AR64" s="72" t="s">
        <v>1842</v>
      </c>
      <c r="AS64" s="72" t="s">
        <v>1843</v>
      </c>
      <c r="AT64" s="72" t="s">
        <v>1844</v>
      </c>
      <c r="AU64" s="72" t="s">
        <v>1837</v>
      </c>
    </row>
    <row r="65" spans="1:47" ht="50.25" customHeight="1" x14ac:dyDescent="0.25">
      <c r="A65" s="88">
        <v>64</v>
      </c>
      <c r="B65" s="133" t="s">
        <v>1333</v>
      </c>
      <c r="C65" s="133"/>
      <c r="D65" s="94" t="s">
        <v>1250</v>
      </c>
      <c r="E65" s="88"/>
      <c r="F65" s="90"/>
      <c r="G65" s="88"/>
      <c r="H65" s="92"/>
      <c r="I65" s="92"/>
      <c r="J65" s="105" t="s">
        <v>1915</v>
      </c>
      <c r="K65" s="105" t="s">
        <v>1292</v>
      </c>
      <c r="L65" s="105" t="s">
        <v>1293</v>
      </c>
      <c r="M65" s="105" t="s">
        <v>1291</v>
      </c>
      <c r="O65" s="105" t="s">
        <v>586</v>
      </c>
      <c r="P65" s="105" t="s">
        <v>592</v>
      </c>
      <c r="S65" s="105" t="s">
        <v>36</v>
      </c>
      <c r="W65" s="105" t="s">
        <v>1290</v>
      </c>
      <c r="Z65" s="105" t="s">
        <v>1295</v>
      </c>
      <c r="AA65" s="105">
        <v>18</v>
      </c>
      <c r="AC65" s="112"/>
      <c r="AD65" s="105" t="s">
        <v>1294</v>
      </c>
      <c r="AE65" s="105" t="str">
        <f>CONCATENATE( C1,C65,CHAR(10), D1,D65,CHAR(10), E1,E65,CHAR(10), F1,F65,CHAR(10), G1,G65,CHAR(10), H1,H65,CHAR(10), I1,I65,CHAR(10), J1,J65,CHAR(10), K1,K65,CHAR(10), L1,L65,CHAR(10), M1,M65,CHAR(10), N1,N65,CHAR(10), O1,O65,CHAR(10), P1,P65,CHAR(10), Q1,Q65,CHAR(10), R1,R65,CHAR(10), S1,S65,CHAR(10), U1,U65,CHAR(10), V1,V65,CHAR(10), W1,W65,CHAR(10), X1,X65,CHAR(10), Y1,Y65,CHAR(10), Z1,Z65,CHAR(10), AA1,AA65,CHAR(10), AB1,AB65,CHAR(10), AC1,AC65,CHAR(10), AD1,AD65,CHAR(10),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частота:85 Гц - 20ц (± 5 дБ)
Чувствительность: 98 дБ
Сопротивление: 4 Ом ; 16 Ом
Драйвер В.Ч.:1.35"x1 
Коннектор: 
Номинальная мощность: 240 Вт
Максимальная мощность: 480 Вт
Мощность усилителя:
Программная выходная мощность (PROGRAM):
Максимальное звуковое давление:106 дБ
тип динамиков
ВЧ динамик: 
НЧ динамик:6.5"x2 
Динамик СЧ:
Угол раскрытия:
Размер: 548x215x320 мм
Вес: 18
Корпус: 
положение установки
Угол подвеска:0-15°
</v>
      </c>
      <c r="AF65" s="105"/>
      <c r="AI65" s="92" t="s">
        <v>1849</v>
      </c>
      <c r="AJ65" s="148">
        <v>54900</v>
      </c>
      <c r="AL65" s="72" t="str">
        <f t="shared" si="0"/>
        <v>MCF VF-602L элемент линейного массива</v>
      </c>
      <c r="AM65" s="72" t="str">
        <f t="shared" si="1"/>
        <v>MCF VF-602L элемент линейного массива</v>
      </c>
      <c r="AN65" s="72" t="s">
        <v>1840</v>
      </c>
      <c r="AP65" s="72" t="s">
        <v>1837</v>
      </c>
      <c r="AQ65" s="72" t="s">
        <v>1841</v>
      </c>
      <c r="AR65" s="72" t="s">
        <v>1842</v>
      </c>
      <c r="AS65" s="72" t="s">
        <v>1843</v>
      </c>
      <c r="AT65" s="72" t="s">
        <v>1844</v>
      </c>
      <c r="AU65" s="72" t="s">
        <v>1837</v>
      </c>
    </row>
    <row r="66" spans="1:47" ht="50.25" customHeight="1" x14ac:dyDescent="0.25">
      <c r="A66" s="88">
        <v>65</v>
      </c>
      <c r="B66" s="133" t="s">
        <v>1334</v>
      </c>
      <c r="C66" s="133"/>
      <c r="D66" s="94" t="s">
        <v>1250</v>
      </c>
      <c r="E66" s="88"/>
      <c r="F66" s="90"/>
      <c r="G66" s="92"/>
      <c r="H66" s="92"/>
      <c r="I66" s="92"/>
      <c r="J66" s="105" t="s">
        <v>1915</v>
      </c>
      <c r="K66" s="105" t="s">
        <v>1292</v>
      </c>
      <c r="L66" s="105" t="s">
        <v>1293</v>
      </c>
      <c r="M66" s="105" t="s">
        <v>1291</v>
      </c>
      <c r="O66" s="105" t="s">
        <v>307</v>
      </c>
      <c r="P66" s="105" t="s">
        <v>880</v>
      </c>
      <c r="S66" s="105" t="s">
        <v>36</v>
      </c>
      <c r="W66" s="105" t="s">
        <v>1290</v>
      </c>
      <c r="Z66" s="105" t="s">
        <v>1295</v>
      </c>
      <c r="AA66" s="105" t="s">
        <v>1884</v>
      </c>
      <c r="AB66" s="92"/>
      <c r="AC66" s="112"/>
      <c r="AD66" s="105" t="s">
        <v>1294</v>
      </c>
      <c r="AE66" s="105" t="str">
        <f>CONCATENATE( C1,C66,CHAR(10), D1,D66,CHAR(10), E1,E66,CHAR(10), F1,F66,CHAR(10), G1,G66,CHAR(10), H1,H66,CHAR(10), I1,I66,CHAR(10), J1,J66,CHAR(10), K1,K66,CHAR(10), L1,L66,CHAR(10), M1,M66,CHAR(10), N1,N66,CHAR(10), O1,O66,CHAR(10), P1,P66,CHAR(10), Q1,Q66,CHAR(10), R1,R66,CHAR(10), S1,S66,CHAR(10), U1,U66,CHAR(10), V1,V66,CHAR(10), W1,W66,CHAR(10), X1,X66,CHAR(10), Y1,Y66,CHAR(10), Z1,Z66,CHAR(10), AA1,AA66,CHAR(10), AB1,AB66,CHAR(10), AC1,AC66,CHAR(10), AD1,AD66,CHAR(10), )</f>
        <v xml:space="preserve">Модель
Тип: элемент линейного массива
Мощность: 
Потребляемая мощность
Диапазон частот: 
Частотный диапазон (-6дБ):
Частотный диапазон (-10дБ):
Воспроизводимая частота:85 Гц - 20ц (± 5 дБ)
Чувствительность: 98 дБ
Сопротивление: 4 Ом ; 16 Ом
Драйвер В.Ч.:1.35"x1 
Коннектор: 
Номинальная мощность: 200 Вт
Максимальная мощность: 400 Вт
Мощность усилителя:
Программная выходная мощность (PROGRAM):
Максимальное звуковое давление:106 дБ
тип динамиков
ВЧ динамик: 
НЧ динамик:6.5"x2 
Динамик СЧ:
Угол раскрытия:
Размер: 548x215x320 мм
Вес: 16,5
Корпус: 
положение установки
Угол подвеска:0-15°
</v>
      </c>
      <c r="AF66" s="105"/>
      <c r="AI66" s="92" t="s">
        <v>1926</v>
      </c>
      <c r="AJ66" s="148">
        <v>49900</v>
      </c>
      <c r="AL66" s="72" t="str">
        <f t="shared" si="0"/>
        <v>MCF VF-602J элемент линейного массива</v>
      </c>
      <c r="AM66" s="72" t="str">
        <f t="shared" si="1"/>
        <v>MCF VF-602J элемент линейного массива</v>
      </c>
      <c r="AN66" s="72" t="s">
        <v>1840</v>
      </c>
      <c r="AP66" s="72" t="s">
        <v>1837</v>
      </c>
      <c r="AQ66" s="72" t="s">
        <v>1841</v>
      </c>
      <c r="AR66" s="72" t="s">
        <v>1842</v>
      </c>
      <c r="AS66" s="72" t="s">
        <v>1843</v>
      </c>
      <c r="AT66" s="72" t="s">
        <v>1844</v>
      </c>
      <c r="AU66" s="72" t="s">
        <v>1837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W114"/>
  <sheetViews>
    <sheetView zoomScale="70" zoomScaleNormal="70" workbookViewId="0">
      <pane ySplit="1" topLeftCell="A2" activePane="bottomLeft" state="frozen"/>
      <selection pane="bottomLeft" activeCell="K3" sqref="K3"/>
    </sheetView>
  </sheetViews>
  <sheetFormatPr defaultColWidth="18" defaultRowHeight="15" x14ac:dyDescent="0.25"/>
  <cols>
    <col min="1" max="1" width="5.5703125" style="126" customWidth="1"/>
    <col min="2" max="2" width="18" style="116"/>
    <col min="3" max="10" width="0" style="116" hidden="1" customWidth="1"/>
    <col min="11" max="11" width="50.28515625" style="116" customWidth="1"/>
    <col min="12" max="16384" width="18" style="116"/>
  </cols>
  <sheetData>
    <row r="1" spans="1:23" s="123" customFormat="1" ht="30" x14ac:dyDescent="0.25">
      <c r="A1" s="123" t="s">
        <v>636</v>
      </c>
      <c r="B1" s="124" t="s">
        <v>0</v>
      </c>
      <c r="C1" s="124" t="s">
        <v>1462</v>
      </c>
      <c r="D1" s="124" t="s">
        <v>1464</v>
      </c>
      <c r="E1" s="125" t="s">
        <v>1372</v>
      </c>
      <c r="F1" s="125" t="s">
        <v>523</v>
      </c>
      <c r="G1" s="125" t="s">
        <v>1376</v>
      </c>
      <c r="H1" s="125" t="s">
        <v>1380</v>
      </c>
      <c r="I1" s="125" t="s">
        <v>1447</v>
      </c>
      <c r="J1" s="125" t="s">
        <v>1463</v>
      </c>
      <c r="K1" s="125" t="s">
        <v>1651</v>
      </c>
      <c r="L1" s="124" t="s">
        <v>1</v>
      </c>
      <c r="M1" s="74" t="s">
        <v>1826</v>
      </c>
      <c r="N1" s="74" t="s">
        <v>1828</v>
      </c>
      <c r="O1" s="74" t="s">
        <v>1829</v>
      </c>
      <c r="P1" s="74" t="s">
        <v>1830</v>
      </c>
      <c r="Q1" s="74" t="s">
        <v>1831</v>
      </c>
      <c r="R1" s="74" t="s">
        <v>1832</v>
      </c>
      <c r="S1" s="74" t="s">
        <v>1833</v>
      </c>
      <c r="T1" s="74" t="s">
        <v>1834</v>
      </c>
      <c r="U1" s="74" t="s">
        <v>1835</v>
      </c>
      <c r="V1" s="74" t="s">
        <v>1836</v>
      </c>
      <c r="W1" s="74" t="s">
        <v>1845</v>
      </c>
    </row>
    <row r="2" spans="1:23" ht="135" x14ac:dyDescent="0.25">
      <c r="A2" s="126">
        <v>1</v>
      </c>
      <c r="B2" s="111" t="s">
        <v>1371</v>
      </c>
      <c r="C2" s="111"/>
      <c r="D2" s="111"/>
      <c r="E2" s="108" t="s">
        <v>1373</v>
      </c>
      <c r="F2" s="108" t="s">
        <v>1375</v>
      </c>
      <c r="G2" s="108">
        <v>4</v>
      </c>
      <c r="H2" s="108"/>
      <c r="I2" s="108"/>
      <c r="J2" s="108"/>
      <c r="K2" s="108" t="str">
        <f>CONCATENATE( C1,C2,CHAR(10), D1,D2,CHAR(10), E1,E2,CHAR(10), F1,F2,CHAR(10), G1,G2,CHAR(10), H1,H2,CHAR(10), I1,I2,CHAR(10), J1,J2,CHAR(10), )</f>
        <v xml:space="preserve">Сечение
Длина
Разъем: speakon кабельный
Напряжение:40А
Контакты:4
Влагозащита:
Температурный режим
Примечание
</v>
      </c>
      <c r="L2" s="111" t="s">
        <v>1374</v>
      </c>
      <c r="M2" s="72" t="s">
        <v>1827</v>
      </c>
      <c r="N2" s="72" t="str">
        <f>B2</f>
        <v>Разъем Speakon MCF  standart</v>
      </c>
      <c r="O2" s="72" t="str">
        <f>N2</f>
        <v>Разъем Speakon MCF  standart</v>
      </c>
      <c r="P2" s="72" t="s">
        <v>1840</v>
      </c>
      <c r="Q2" s="72"/>
      <c r="R2" s="72" t="s">
        <v>1837</v>
      </c>
      <c r="S2" s="72" t="s">
        <v>1841</v>
      </c>
      <c r="T2" s="72" t="s">
        <v>1842</v>
      </c>
      <c r="U2" s="72" t="s">
        <v>1843</v>
      </c>
      <c r="V2" s="72" t="s">
        <v>1844</v>
      </c>
      <c r="W2" s="72" t="s">
        <v>1837</v>
      </c>
    </row>
    <row r="3" spans="1:23" ht="135" x14ac:dyDescent="0.25">
      <c r="A3" s="126">
        <v>2</v>
      </c>
      <c r="B3" s="111" t="s">
        <v>1377</v>
      </c>
      <c r="C3" s="111"/>
      <c r="D3" s="111"/>
      <c r="E3" s="108" t="s">
        <v>1373</v>
      </c>
      <c r="F3" s="108" t="s">
        <v>1375</v>
      </c>
      <c r="G3" s="108" t="s">
        <v>1379</v>
      </c>
      <c r="H3" s="108" t="s">
        <v>1381</v>
      </c>
      <c r="I3" s="108"/>
      <c r="J3" s="108"/>
      <c r="K3" s="108" t="str">
        <f>CONCATENATE( C1,C3,CHAR(10), D1,D3,CHAR(10), E1,E3,CHAR(10), F1,F3,CHAR(10), G1,G3,CHAR(10), H1,H3,CHAR(10), I1,I3,CHAR(10), J1,J3,CHAR(10), )</f>
        <v xml:space="preserve">Сечение
Длина
Разъем: speakon кабельный
Напряжение:40А
Контакты:4 (позолоченные)
Влагозащита:IP54
Температурный режим
Примечание
</v>
      </c>
      <c r="L3" s="111" t="s">
        <v>1378</v>
      </c>
      <c r="M3" s="72" t="s">
        <v>1827</v>
      </c>
      <c r="N3" s="72" t="str">
        <f t="shared" ref="N3:N66" si="0">B3</f>
        <v>Разъем Speakon MCF NEXT</v>
      </c>
      <c r="O3" s="72" t="str">
        <f t="shared" ref="O3:O66" si="1">N3</f>
        <v>Разъем Speakon MCF NEXT</v>
      </c>
      <c r="P3" s="72" t="s">
        <v>1840</v>
      </c>
      <c r="Q3" s="15"/>
      <c r="R3" s="72" t="s">
        <v>1837</v>
      </c>
      <c r="S3" s="72" t="s">
        <v>1841</v>
      </c>
      <c r="T3" s="72" t="s">
        <v>1842</v>
      </c>
      <c r="U3" s="72" t="s">
        <v>1843</v>
      </c>
      <c r="V3" s="72" t="s">
        <v>1844</v>
      </c>
      <c r="W3" s="72" t="s">
        <v>1837</v>
      </c>
    </row>
    <row r="4" spans="1:23" ht="135" x14ac:dyDescent="0.25">
      <c r="A4" s="126">
        <v>3</v>
      </c>
      <c r="B4" s="117" t="s">
        <v>1456</v>
      </c>
      <c r="C4" s="117"/>
      <c r="D4" s="117"/>
      <c r="E4" s="108" t="s">
        <v>1373</v>
      </c>
      <c r="F4" s="108" t="s">
        <v>1375</v>
      </c>
      <c r="G4" s="108" t="s">
        <v>1379</v>
      </c>
      <c r="H4" s="108" t="s">
        <v>1381</v>
      </c>
      <c r="I4" s="108"/>
      <c r="J4" s="108"/>
      <c r="K4" s="108" t="str">
        <f>CONCATENATE( C1,C4,CHAR(10), D1,D4,CHAR(10), E1,E4,CHAR(10), F1,F4,CHAR(10), G1,G4,CHAR(10), H1,H4,CHAR(10), I1,I4,CHAR(10), J1,J4,CHAR(10), )</f>
        <v xml:space="preserve">Сечение
Длина
Разъем: speakon кабельный
Напряжение:40А
Контакты:4 (позолоченные)
Влагозащита:IP54
Температурный режим
Примечание
</v>
      </c>
      <c r="L4" s="111" t="s">
        <v>1382</v>
      </c>
      <c r="M4" s="72" t="s">
        <v>1827</v>
      </c>
      <c r="N4" s="72" t="str">
        <f t="shared" si="0"/>
        <v>Разъем Speakon MCF NEXT 2</v>
      </c>
      <c r="O4" s="72" t="str">
        <f t="shared" si="1"/>
        <v>Разъем Speakon MCF NEXT 2</v>
      </c>
      <c r="P4" s="72" t="s">
        <v>1840</v>
      </c>
      <c r="Q4" s="15"/>
      <c r="R4" s="72" t="s">
        <v>1837</v>
      </c>
      <c r="S4" s="72" t="s">
        <v>1841</v>
      </c>
      <c r="T4" s="72" t="s">
        <v>1842</v>
      </c>
      <c r="U4" s="72" t="s">
        <v>1843</v>
      </c>
      <c r="V4" s="72" t="s">
        <v>1844</v>
      </c>
      <c r="W4" s="72" t="s">
        <v>1837</v>
      </c>
    </row>
    <row r="5" spans="1:23" ht="135" x14ac:dyDescent="0.25">
      <c r="A5" s="126">
        <v>4</v>
      </c>
      <c r="B5" s="111" t="s">
        <v>1383</v>
      </c>
      <c r="C5" s="111"/>
      <c r="D5" s="111"/>
      <c r="E5" s="108" t="s">
        <v>1373</v>
      </c>
      <c r="F5" s="108" t="s">
        <v>1375</v>
      </c>
      <c r="G5" s="108">
        <v>8</v>
      </c>
      <c r="H5" s="118"/>
      <c r="I5" s="118"/>
      <c r="J5" s="118"/>
      <c r="K5" s="108" t="str">
        <f>CONCATENATE( C1,C5,CHAR(10), D1,D5,CHAR(10), E1,E5,CHAR(10), F1,F5,CHAR(10), G1,G5,CHAR(10), H1,H5,CHAR(10), I1,I5,CHAR(10), J1,J5,CHAR(10), )</f>
        <v xml:space="preserve">Сечение
Длина
Разъем: speakon кабельный
Напряжение:40А
Контакты:8
Влагозащита:
Температурный режим
Примечание
</v>
      </c>
      <c r="L5" s="111" t="s">
        <v>1384</v>
      </c>
      <c r="M5" s="72" t="s">
        <v>1827</v>
      </c>
      <c r="N5" s="72" t="str">
        <f t="shared" si="0"/>
        <v>Разъем Speakon MCF 8</v>
      </c>
      <c r="O5" s="72" t="str">
        <f t="shared" si="1"/>
        <v>Разъем Speakon MCF 8</v>
      </c>
      <c r="P5" s="72" t="s">
        <v>1840</v>
      </c>
      <c r="Q5" s="15"/>
      <c r="R5" s="72" t="s">
        <v>1837</v>
      </c>
      <c r="S5" s="72" t="s">
        <v>1841</v>
      </c>
      <c r="T5" s="72" t="s">
        <v>1842</v>
      </c>
      <c r="U5" s="72" t="s">
        <v>1843</v>
      </c>
      <c r="V5" s="72" t="s">
        <v>1844</v>
      </c>
      <c r="W5" s="72" t="s">
        <v>1837</v>
      </c>
    </row>
    <row r="6" spans="1:23" ht="135" x14ac:dyDescent="0.25">
      <c r="A6" s="126">
        <v>5</v>
      </c>
      <c r="B6" s="111" t="s">
        <v>1385</v>
      </c>
      <c r="C6" s="111"/>
      <c r="D6" s="111"/>
      <c r="E6" s="108" t="s">
        <v>1373</v>
      </c>
      <c r="F6" s="108" t="s">
        <v>1375</v>
      </c>
      <c r="G6" s="108">
        <v>4</v>
      </c>
      <c r="H6" s="108" t="s">
        <v>1381</v>
      </c>
      <c r="I6" s="108"/>
      <c r="J6" s="108"/>
      <c r="K6" s="108" t="str">
        <f>CONCATENATE( C1,C6,CHAR(10), D1,D6,CHAR(10), E1,E6,CHAR(10), F1,F6,CHAR(10), G1,G6,CHAR(10), H1,H6,CHAR(10), I1,I6,CHAR(10), J1,J6,CHAR(10), )</f>
        <v xml:space="preserve">Сечение
Длина
Разъем: speakon кабельный
Напряжение:40А
Контакты:4
Влагозащита:IP54
Температурный режим
Примечание
</v>
      </c>
      <c r="L6" s="111" t="s">
        <v>1386</v>
      </c>
      <c r="M6" s="72" t="s">
        <v>1827</v>
      </c>
      <c r="N6" s="72" t="str">
        <f t="shared" si="0"/>
        <v>Разъем Speakon L  сборка  MCF</v>
      </c>
      <c r="O6" s="72" t="str">
        <f t="shared" si="1"/>
        <v>Разъем Speakon L  сборка  MCF</v>
      </c>
      <c r="P6" s="72" t="s">
        <v>1840</v>
      </c>
      <c r="Q6" s="15"/>
      <c r="R6" s="72" t="s">
        <v>1837</v>
      </c>
      <c r="S6" s="72" t="s">
        <v>1841</v>
      </c>
      <c r="T6" s="72" t="s">
        <v>1842</v>
      </c>
      <c r="U6" s="72" t="s">
        <v>1843</v>
      </c>
      <c r="V6" s="72" t="s">
        <v>1844</v>
      </c>
      <c r="W6" s="72" t="s">
        <v>1837</v>
      </c>
    </row>
    <row r="7" spans="1:23" ht="135" x14ac:dyDescent="0.25">
      <c r="A7" s="126">
        <v>6</v>
      </c>
      <c r="B7" s="111" t="s">
        <v>1457</v>
      </c>
      <c r="C7" s="111"/>
      <c r="D7" s="111"/>
      <c r="E7" s="111" t="s">
        <v>1387</v>
      </c>
      <c r="F7" s="111"/>
      <c r="G7" s="108">
        <v>3</v>
      </c>
      <c r="H7" s="111"/>
      <c r="I7" s="111"/>
      <c r="J7" s="111"/>
      <c r="K7" s="111" t="str">
        <f>CONCATENATE( C1,C7,CHAR(10), D1,D7,CHAR(10), E1,E7,CHAR(10), F1,F7,CHAR(10), G1,G7,CHAR(10), H1,H7,CHAR(10), I1,I7,CHAR(10), J1,J7,CHAR(10), )</f>
        <v xml:space="preserve">Сечение
Длина
Разъем: XLR-male / XLR-female кабельный
Напряжение:
Контакты:3
Влагозащита:
Температурный режим
Примечание
</v>
      </c>
      <c r="L7" s="111" t="s">
        <v>1374</v>
      </c>
      <c r="M7" s="72" t="s">
        <v>1827</v>
      </c>
      <c r="N7" s="72" t="str">
        <f t="shared" si="0"/>
        <v>Разъем  XLR-m XLR-f сборка MCF</v>
      </c>
      <c r="O7" s="72" t="str">
        <f t="shared" si="1"/>
        <v>Разъем  XLR-m XLR-f сборка MCF</v>
      </c>
      <c r="P7" s="72" t="s">
        <v>1840</v>
      </c>
      <c r="Q7" s="15"/>
      <c r="R7" s="72" t="s">
        <v>1837</v>
      </c>
      <c r="S7" s="72" t="s">
        <v>1841</v>
      </c>
      <c r="T7" s="72" t="s">
        <v>1842</v>
      </c>
      <c r="U7" s="72" t="s">
        <v>1843</v>
      </c>
      <c r="V7" s="72" t="s">
        <v>1844</v>
      </c>
      <c r="W7" s="72" t="s">
        <v>1837</v>
      </c>
    </row>
    <row r="8" spans="1:23" ht="135" x14ac:dyDescent="0.25">
      <c r="A8" s="126">
        <v>7</v>
      </c>
      <c r="B8" s="111" t="s">
        <v>1458</v>
      </c>
      <c r="C8" s="111"/>
      <c r="D8" s="111"/>
      <c r="E8" s="111" t="s">
        <v>1388</v>
      </c>
      <c r="F8" s="111"/>
      <c r="G8" s="108" t="s">
        <v>1389</v>
      </c>
      <c r="H8" s="111"/>
      <c r="I8" s="111"/>
      <c r="J8" s="111"/>
      <c r="K8" s="111" t="str">
        <f>CONCATENATE( C1,C8,CHAR(10), D1,D8,CHAR(10), E1,E8,CHAR(10), F1,F8,CHAR(10), G1,G8,CHAR(10), H1,H8,CHAR(10), I1,I8,CHAR(10), J1,J8,CHAR(10), )</f>
        <v xml:space="preserve">Сечение
Длина
Разъем: XLR-male / XLR-female NEXT кабельный
Напряжение:
Контакты:3 (напыление- бронза)
Влагозащита:
Температурный режим
Примечание
</v>
      </c>
      <c r="L8" s="111" t="s">
        <v>1378</v>
      </c>
      <c r="M8" s="72" t="s">
        <v>1827</v>
      </c>
      <c r="N8" s="72" t="str">
        <f t="shared" si="0"/>
        <v>Разъем  XLR-m XLR-f  NEXT сборка  MCF</v>
      </c>
      <c r="O8" s="72" t="str">
        <f t="shared" si="1"/>
        <v>Разъем  XLR-m XLR-f  NEXT сборка  MCF</v>
      </c>
      <c r="P8" s="72" t="s">
        <v>1840</v>
      </c>
      <c r="Q8" s="15"/>
      <c r="R8" s="72" t="s">
        <v>1837</v>
      </c>
      <c r="S8" s="72" t="s">
        <v>1841</v>
      </c>
      <c r="T8" s="72" t="s">
        <v>1842</v>
      </c>
      <c r="U8" s="72" t="s">
        <v>1843</v>
      </c>
      <c r="V8" s="72" t="s">
        <v>1844</v>
      </c>
      <c r="W8" s="72" t="s">
        <v>1837</v>
      </c>
    </row>
    <row r="9" spans="1:23" ht="135" x14ac:dyDescent="0.25">
      <c r="A9" s="126">
        <v>8</v>
      </c>
      <c r="B9" s="111" t="s">
        <v>1390</v>
      </c>
      <c r="C9" s="111"/>
      <c r="D9" s="111"/>
      <c r="E9" s="108" t="s">
        <v>1391</v>
      </c>
      <c r="F9" s="108"/>
      <c r="H9" s="108"/>
      <c r="I9" s="108"/>
      <c r="J9" s="108"/>
      <c r="K9" s="108" t="str">
        <f>CONCATENATE( C1,C9,CHAR(10), D1,D9,CHAR(10), E1,E9,CHAR(10), F1,F9,CHAR(10), G1,G9,CHAR(10), H1,H9,CHAR(10), I1,I9,CHAR(10), J1,J9,CHAR(10), )</f>
        <v xml:space="preserve">Сечение
Длина
Разъем: jack mono 6.3 mm кабельный
Напряжение:
Контакты:
Влагозащита:
Температурный режим
Примечание
</v>
      </c>
      <c r="L9" s="111" t="s">
        <v>1374</v>
      </c>
      <c r="M9" s="72" t="s">
        <v>1827</v>
      </c>
      <c r="N9" s="72" t="str">
        <f t="shared" si="0"/>
        <v>Jack стандарт  сборка  MCF</v>
      </c>
      <c r="O9" s="72" t="str">
        <f t="shared" si="1"/>
        <v>Jack стандарт  сборка  MCF</v>
      </c>
      <c r="P9" s="72" t="s">
        <v>1840</v>
      </c>
      <c r="Q9" s="15"/>
      <c r="R9" s="72" t="s">
        <v>1837</v>
      </c>
      <c r="S9" s="72" t="s">
        <v>1841</v>
      </c>
      <c r="T9" s="72" t="s">
        <v>1842</v>
      </c>
      <c r="U9" s="72" t="s">
        <v>1843</v>
      </c>
      <c r="V9" s="72" t="s">
        <v>1844</v>
      </c>
      <c r="W9" s="72" t="s">
        <v>1837</v>
      </c>
    </row>
    <row r="10" spans="1:23" ht="135" x14ac:dyDescent="0.25">
      <c r="A10" s="126">
        <v>9</v>
      </c>
      <c r="B10" s="111" t="s">
        <v>1390</v>
      </c>
      <c r="C10" s="111"/>
      <c r="D10" s="111"/>
      <c r="E10" s="108" t="s">
        <v>1392</v>
      </c>
      <c r="F10" s="108"/>
      <c r="H10" s="108"/>
      <c r="I10" s="108"/>
      <c r="J10" s="108"/>
      <c r="K10" s="108" t="str">
        <f>CONCATENATE( C1,C10,CHAR(10), D1,D10,CHAR(10), E1,E10,CHAR(10), F1,F10,CHAR(10), G1,G10,CHAR(10), H1,H10,CHAR(10), I1,I10,CHAR(10), J1,J10,CHAR(10), )</f>
        <v xml:space="preserve">Сечение
Длина
Разъем: jack stereo 6.3 mm кабельный
Напряжение:
Контакты:
Влагозащита:
Температурный режим
Примечание
</v>
      </c>
      <c r="L10" s="111" t="s">
        <v>1374</v>
      </c>
      <c r="M10" s="72" t="s">
        <v>1827</v>
      </c>
      <c r="N10" s="72" t="str">
        <f t="shared" si="0"/>
        <v>Jack стандарт  сборка  MCF</v>
      </c>
      <c r="O10" s="72" t="str">
        <f t="shared" si="1"/>
        <v>Jack стандарт  сборка  MCF</v>
      </c>
      <c r="P10" s="72" t="s">
        <v>1840</v>
      </c>
      <c r="Q10" s="15"/>
      <c r="R10" s="72" t="s">
        <v>1837</v>
      </c>
      <c r="S10" s="72" t="s">
        <v>1841</v>
      </c>
      <c r="T10" s="72" t="s">
        <v>1842</v>
      </c>
      <c r="U10" s="72" t="s">
        <v>1843</v>
      </c>
      <c r="V10" s="72" t="s">
        <v>1844</v>
      </c>
      <c r="W10" s="72" t="s">
        <v>1837</v>
      </c>
    </row>
    <row r="11" spans="1:23" ht="135" x14ac:dyDescent="0.25">
      <c r="A11" s="126">
        <v>10</v>
      </c>
      <c r="B11" s="111" t="s">
        <v>1459</v>
      </c>
      <c r="C11" s="111"/>
      <c r="D11" s="111"/>
      <c r="E11" s="108" t="s">
        <v>1393</v>
      </c>
      <c r="F11" s="108"/>
      <c r="H11" s="108"/>
      <c r="I11" s="108"/>
      <c r="J11" s="108"/>
      <c r="K11" s="108" t="str">
        <f>CONCATENATE( C1,C11,CHAR(10), D1,D11,CHAR(10), E1,E11,CHAR(10), F1,F11,CHAR(10), G1,G11,CHAR(10), H1,H11,CHAR(10), I1,I11,CHAR(10), J1,J11,CHAR(10), )</f>
        <v xml:space="preserve">Сечение
Длина
Разъем: jack  mono  6.3 mm кабельный
Напряжение:
Контакты:
Влагозащита:
Температурный режим
Примечание
</v>
      </c>
      <c r="L11" s="111" t="s">
        <v>1378</v>
      </c>
      <c r="M11" s="72" t="s">
        <v>1827</v>
      </c>
      <c r="N11" s="72" t="str">
        <f t="shared" si="0"/>
        <v>Jack NEXT сборка  MCF</v>
      </c>
      <c r="O11" s="72" t="str">
        <f t="shared" si="1"/>
        <v>Jack NEXT сборка  MCF</v>
      </c>
      <c r="P11" s="72" t="s">
        <v>1840</v>
      </c>
      <c r="Q11" s="15"/>
      <c r="R11" s="72" t="s">
        <v>1837</v>
      </c>
      <c r="S11" s="72" t="s">
        <v>1841</v>
      </c>
      <c r="T11" s="72" t="s">
        <v>1842</v>
      </c>
      <c r="U11" s="72" t="s">
        <v>1843</v>
      </c>
      <c r="V11" s="72" t="s">
        <v>1844</v>
      </c>
      <c r="W11" s="72" t="s">
        <v>1837</v>
      </c>
    </row>
    <row r="12" spans="1:23" ht="135" x14ac:dyDescent="0.25">
      <c r="A12" s="126">
        <v>11</v>
      </c>
      <c r="B12" s="111" t="s">
        <v>1394</v>
      </c>
      <c r="C12" s="111"/>
      <c r="D12" s="111"/>
      <c r="E12" s="108" t="s">
        <v>1392</v>
      </c>
      <c r="F12" s="108"/>
      <c r="H12" s="108"/>
      <c r="I12" s="108"/>
      <c r="J12" s="108"/>
      <c r="K12" s="108" t="str">
        <f>CONCATENATE( C1,C12,CHAR(10), D1,D12,CHAR(10), E1,E12,CHAR(10), F1,F12,CHAR(10), G1,G12,CHAR(10), H1,H12,CHAR(10), I1,I12,CHAR(10), J1,J12,CHAR(10), )</f>
        <v xml:space="preserve">Сечение
Длина
Разъем: jack stereo 6.3 mm кабельный
Напряжение:
Контакты:
Влагозащита:
Температурный режим
Примечание
</v>
      </c>
      <c r="L12" s="111" t="s">
        <v>1382</v>
      </c>
      <c r="M12" s="72" t="s">
        <v>1827</v>
      </c>
      <c r="N12" s="72" t="str">
        <f t="shared" si="0"/>
        <v>Jack NEXT сборка MCF</v>
      </c>
      <c r="O12" s="72" t="str">
        <f t="shared" si="1"/>
        <v>Jack NEXT сборка MCF</v>
      </c>
      <c r="P12" s="72" t="s">
        <v>1840</v>
      </c>
      <c r="Q12" s="15"/>
      <c r="R12" s="72" t="s">
        <v>1837</v>
      </c>
      <c r="S12" s="72" t="s">
        <v>1841</v>
      </c>
      <c r="T12" s="72" t="s">
        <v>1842</v>
      </c>
      <c r="U12" s="72" t="s">
        <v>1843</v>
      </c>
      <c r="V12" s="72" t="s">
        <v>1844</v>
      </c>
      <c r="W12" s="72" t="s">
        <v>1837</v>
      </c>
    </row>
    <row r="13" spans="1:23" ht="135" x14ac:dyDescent="0.25">
      <c r="A13" s="126">
        <v>12</v>
      </c>
      <c r="B13" s="111" t="s">
        <v>1460</v>
      </c>
      <c r="C13" s="111"/>
      <c r="D13" s="111"/>
      <c r="E13" s="108" t="s">
        <v>1395</v>
      </c>
      <c r="H13" s="108"/>
      <c r="I13" s="108"/>
      <c r="J13" s="108"/>
      <c r="K13" s="108" t="str">
        <f>CONCATENATE( C1,C13,CHAR(10), D1,D13,CHAR(10), E1,E13,CHAR(10), F1,F13,CHAR(10), G1,G13,CHAR(10), H1,H13,CHAR(10), I1,I13,CHAR(10), J1,J13,CHAR(10), )</f>
        <v xml:space="preserve">Сечение
Длина
Разъем: RCA – джек (моно)
Напряжение:
Контакты:
Влагозащита:
Температурный режим
Примечание
</v>
      </c>
      <c r="L13" s="111" t="s">
        <v>1396</v>
      </c>
      <c r="M13" s="72" t="s">
        <v>1827</v>
      </c>
      <c r="N13" s="72" t="str">
        <f t="shared" si="0"/>
        <v>Переходник RCA - Jack</v>
      </c>
      <c r="O13" s="72" t="str">
        <f t="shared" si="1"/>
        <v>Переходник RCA - Jack</v>
      </c>
      <c r="P13" s="72" t="s">
        <v>1840</v>
      </c>
      <c r="Q13" s="15"/>
      <c r="R13" s="72" t="s">
        <v>1837</v>
      </c>
      <c r="S13" s="72" t="s">
        <v>1841</v>
      </c>
      <c r="T13" s="72" t="s">
        <v>1842</v>
      </c>
      <c r="U13" s="72" t="s">
        <v>1843</v>
      </c>
      <c r="V13" s="72" t="s">
        <v>1844</v>
      </c>
      <c r="W13" s="72" t="s">
        <v>1837</v>
      </c>
    </row>
    <row r="14" spans="1:23" ht="135" x14ac:dyDescent="0.25">
      <c r="A14" s="126">
        <v>13</v>
      </c>
      <c r="B14" s="111" t="s">
        <v>1468</v>
      </c>
      <c r="C14" s="111"/>
      <c r="D14" s="111"/>
      <c r="E14" s="111"/>
      <c r="F14" s="108"/>
      <c r="G14" s="108"/>
      <c r="H14" s="108"/>
      <c r="I14" s="108"/>
      <c r="J14" s="108"/>
      <c r="K14" s="108" t="str">
        <f>CONCATENATE( C1,C14,CHAR(10), D1,D14,CHAR(10), E1,E14,CHAR(10), F1,F14,CHAR(10), G1,G14,CHAR(10), H1,H14,CHAR(10), I1,I14,CHAR(10), J1,J14,CHAR(10), )</f>
        <v xml:space="preserve">Сечение
Длина
Разъем: 
Напряжение:
Контакты:
Влагозащита:
Температурный режим
Примечание
</v>
      </c>
      <c r="L14" s="111" t="s">
        <v>1397</v>
      </c>
      <c r="M14" s="72" t="s">
        <v>1827</v>
      </c>
      <c r="N14" s="72" t="str">
        <f t="shared" si="0"/>
        <v>Power CON  выходной кабелный MCF</v>
      </c>
      <c r="O14" s="72" t="str">
        <f t="shared" si="1"/>
        <v>Power CON  выходной кабелный MCF</v>
      </c>
      <c r="P14" s="72" t="s">
        <v>1840</v>
      </c>
      <c r="Q14" s="15"/>
      <c r="R14" s="72" t="s">
        <v>1837</v>
      </c>
      <c r="S14" s="72" t="s">
        <v>1841</v>
      </c>
      <c r="T14" s="72" t="s">
        <v>1842</v>
      </c>
      <c r="U14" s="72" t="s">
        <v>1843</v>
      </c>
      <c r="V14" s="72" t="s">
        <v>1844</v>
      </c>
      <c r="W14" s="72" t="s">
        <v>1837</v>
      </c>
    </row>
    <row r="15" spans="1:23" ht="135" x14ac:dyDescent="0.25">
      <c r="A15" s="126">
        <v>14</v>
      </c>
      <c r="B15" s="111" t="s">
        <v>1469</v>
      </c>
      <c r="C15" s="111"/>
      <c r="D15" s="111"/>
      <c r="E15" s="111"/>
      <c r="F15" s="108"/>
      <c r="G15" s="108"/>
      <c r="H15" s="108"/>
      <c r="I15" s="108"/>
      <c r="J15" s="108"/>
      <c r="K15" s="108" t="str">
        <f>CONCATENATE( C1,C15,CHAR(10), D1,D15,CHAR(10), E1,E15,CHAR(10), F1,F15,CHAR(10), G1,G15,CHAR(10), H1,H15,CHAR(10), I1,I15,CHAR(10), J1,J15,CHAR(10), )</f>
        <v xml:space="preserve">Сечение
Длина
Разъем: 
Напряжение:
Контакты:
Влагозащита:
Температурный режим
Примечание
</v>
      </c>
      <c r="L15" s="111" t="s">
        <v>1382</v>
      </c>
      <c r="M15" s="72" t="s">
        <v>1827</v>
      </c>
      <c r="N15" s="72" t="str">
        <f t="shared" si="0"/>
        <v>Power CON входной панельный коннектор MCF</v>
      </c>
      <c r="O15" s="72" t="str">
        <f t="shared" si="1"/>
        <v>Power CON входной панельный коннектор MCF</v>
      </c>
      <c r="P15" s="72" t="s">
        <v>1840</v>
      </c>
      <c r="Q15" s="32"/>
      <c r="R15" s="72" t="s">
        <v>1837</v>
      </c>
      <c r="S15" s="72" t="s">
        <v>1841</v>
      </c>
      <c r="T15" s="72" t="s">
        <v>1842</v>
      </c>
      <c r="U15" s="72" t="s">
        <v>1843</v>
      </c>
      <c r="V15" s="72" t="s">
        <v>1844</v>
      </c>
      <c r="W15" s="72" t="s">
        <v>1837</v>
      </c>
    </row>
    <row r="16" spans="1:23" ht="135" x14ac:dyDescent="0.25">
      <c r="A16" s="126">
        <v>15</v>
      </c>
      <c r="B16" s="111" t="s">
        <v>1470</v>
      </c>
      <c r="C16" s="111"/>
      <c r="D16" s="111"/>
      <c r="E16" s="111"/>
      <c r="F16" s="108"/>
      <c r="G16" s="108"/>
      <c r="H16" s="108"/>
      <c r="I16" s="108"/>
      <c r="J16" s="108"/>
      <c r="K16" s="108" t="str">
        <f>CONCATENATE( C1,C16,CHAR(10), D1,D16,CHAR(10), E1,E16,CHAR(10), F1,F16,CHAR(10), G1,G16,CHAR(10), H1,H16,CHAR(10), I1,I16,CHAR(10), J1,J16,CHAR(10), )</f>
        <v xml:space="preserve">Сечение
Длина
Разъем: 
Напряжение:
Контакты:
Влагозащита:
Температурный режим
Примечание
</v>
      </c>
      <c r="L16" s="111" t="s">
        <v>1386</v>
      </c>
      <c r="M16" s="72" t="s">
        <v>1827</v>
      </c>
      <c r="N16" s="72" t="str">
        <f t="shared" si="0"/>
        <v>Power CON выходной кабельный (всепогодный) MCF</v>
      </c>
      <c r="O16" s="72" t="str">
        <f t="shared" si="1"/>
        <v>Power CON выходной кабельный (всепогодный) MCF</v>
      </c>
      <c r="P16" s="72" t="s">
        <v>1840</v>
      </c>
      <c r="Q16" s="15"/>
      <c r="R16" s="72" t="s">
        <v>1837</v>
      </c>
      <c r="S16" s="72" t="s">
        <v>1841</v>
      </c>
      <c r="T16" s="72" t="s">
        <v>1842</v>
      </c>
      <c r="U16" s="72" t="s">
        <v>1843</v>
      </c>
      <c r="V16" s="72" t="s">
        <v>1844</v>
      </c>
      <c r="W16" s="72" t="s">
        <v>1837</v>
      </c>
    </row>
    <row r="17" spans="1:23" ht="150" x14ac:dyDescent="0.25">
      <c r="A17" s="126">
        <v>16</v>
      </c>
      <c r="B17" s="111" t="s">
        <v>1461</v>
      </c>
      <c r="C17" s="108" t="s">
        <v>1471</v>
      </c>
      <c r="D17" s="108" t="s">
        <v>1400</v>
      </c>
      <c r="E17" s="111"/>
      <c r="F17" s="108"/>
      <c r="H17" s="108"/>
      <c r="I17" s="108" t="s">
        <v>1401</v>
      </c>
      <c r="J17" s="108" t="s">
        <v>1399</v>
      </c>
      <c r="K17" s="108" t="str">
        <f>CONCATENATE( C1,C17,CHAR(10), D1,D17,CHAR(10), E1,E17,CHAR(10), F1,F17,CHAR(10), G1,G17,CHAR(10), H1,H17,CHAR(10), I1,I17,CHAR(10), J1,J17,CHAR(10), )</f>
        <v xml:space="preserve">Сечение- 2х1,0 мм2
Длина80 м (бухта)
Разъем: 
Напряжение:
Контакты:
Влагозащита:
Температурный режим-10° - +70°
Примечаниеакустический, универсальный (бескислородная медь)
</v>
      </c>
      <c r="L17" s="117">
        <v>39</v>
      </c>
      <c r="M17" s="72" t="s">
        <v>1827</v>
      </c>
      <c r="N17" s="72" t="str">
        <f t="shared" si="0"/>
        <v>Кабель OXL Акустический BC</v>
      </c>
      <c r="O17" s="72" t="str">
        <f t="shared" si="1"/>
        <v>Кабель OXL Акустический BC</v>
      </c>
      <c r="P17" s="72" t="s">
        <v>1840</v>
      </c>
      <c r="Q17" s="15"/>
      <c r="R17" s="72" t="s">
        <v>1837</v>
      </c>
      <c r="S17" s="72" t="s">
        <v>1841</v>
      </c>
      <c r="T17" s="72" t="s">
        <v>1842</v>
      </c>
      <c r="U17" s="72" t="s">
        <v>1843</v>
      </c>
      <c r="V17" s="72" t="s">
        <v>1844</v>
      </c>
      <c r="W17" s="72" t="s">
        <v>1837</v>
      </c>
    </row>
    <row r="18" spans="1:23" ht="150" x14ac:dyDescent="0.25">
      <c r="A18" s="126">
        <v>17</v>
      </c>
      <c r="B18" s="111" t="s">
        <v>1461</v>
      </c>
      <c r="C18" s="108" t="s">
        <v>1472</v>
      </c>
      <c r="D18" s="108" t="s">
        <v>1400</v>
      </c>
      <c r="E18" s="111"/>
      <c r="F18" s="108"/>
      <c r="H18" s="108"/>
      <c r="I18" s="108" t="s">
        <v>1401</v>
      </c>
      <c r="J18" s="108" t="s">
        <v>1399</v>
      </c>
      <c r="K18" s="108" t="str">
        <f>CONCATENATE( C1,C18,CHAR(10), D1,D18,CHAR(10), E1,E18,CHAR(10), F1,F18,CHAR(10), G1,G18,CHAR(10), H1,H18,CHAR(10), I1,I18,CHAR(10), J1,J18,CHAR(10), )</f>
        <v xml:space="preserve">Сечение- 2х1,5 мм2
Длина80 м (бухта)
Разъем: 
Напряжение:
Контакты:
Влагозащита:
Температурный режим-10° - +70°
Примечаниеакустический, универсальный (бескислородная медь)
</v>
      </c>
      <c r="L18" s="117">
        <v>49</v>
      </c>
      <c r="M18" s="72" t="s">
        <v>1827</v>
      </c>
      <c r="N18" s="72" t="str">
        <f t="shared" si="0"/>
        <v>Кабель OXL Акустический BC</v>
      </c>
      <c r="O18" s="72" t="str">
        <f t="shared" si="1"/>
        <v>Кабель OXL Акустический BC</v>
      </c>
      <c r="P18" s="72" t="s">
        <v>1840</v>
      </c>
      <c r="Q18" s="32"/>
      <c r="R18" s="72" t="s">
        <v>1837</v>
      </c>
      <c r="S18" s="72" t="s">
        <v>1841</v>
      </c>
      <c r="T18" s="72" t="s">
        <v>1842</v>
      </c>
      <c r="U18" s="72" t="s">
        <v>1843</v>
      </c>
      <c r="V18" s="72" t="s">
        <v>1844</v>
      </c>
      <c r="W18" s="72" t="s">
        <v>1837</v>
      </c>
    </row>
    <row r="19" spans="1:23" ht="150" x14ac:dyDescent="0.25">
      <c r="A19" s="126">
        <v>18</v>
      </c>
      <c r="B19" s="111" t="s">
        <v>1461</v>
      </c>
      <c r="C19" s="108" t="s">
        <v>1473</v>
      </c>
      <c r="D19" s="108" t="s">
        <v>1400</v>
      </c>
      <c r="E19" s="111"/>
      <c r="F19" s="108"/>
      <c r="H19" s="108"/>
      <c r="I19" s="108" t="s">
        <v>1401</v>
      </c>
      <c r="J19" s="108" t="s">
        <v>1399</v>
      </c>
      <c r="K19" s="108" t="str">
        <f>CONCATENATE( C1,C19,CHAR(10), D1,D19,CHAR(10), E1,E19,CHAR(10), F1,F19,CHAR(10), G1,G19,CHAR(10), H1,H19,CHAR(10), I1,I19,CHAR(10), J1,J19,CHAR(10), )</f>
        <v xml:space="preserve">Сечение- 2х2,0 мм2
Длина80 м (бухта)
Разъем: 
Напряжение:
Контакты:
Влагозащита:
Температурный режим-10° - +70°
Примечаниеакустический, универсальный (бескислородная медь)
</v>
      </c>
      <c r="L19" s="117">
        <v>59</v>
      </c>
      <c r="M19" s="72" t="s">
        <v>1827</v>
      </c>
      <c r="N19" s="72" t="str">
        <f t="shared" si="0"/>
        <v>Кабель OXL Акустический BC</v>
      </c>
      <c r="O19" s="72" t="str">
        <f t="shared" si="1"/>
        <v>Кабель OXL Акустический BC</v>
      </c>
      <c r="P19" s="72" t="s">
        <v>1840</v>
      </c>
      <c r="Q19" s="15"/>
      <c r="R19" s="72" t="s">
        <v>1837</v>
      </c>
      <c r="S19" s="72" t="s">
        <v>1841</v>
      </c>
      <c r="T19" s="72" t="s">
        <v>1842</v>
      </c>
      <c r="U19" s="72" t="s">
        <v>1843</v>
      </c>
      <c r="V19" s="72" t="s">
        <v>1844</v>
      </c>
      <c r="W19" s="72" t="s">
        <v>1837</v>
      </c>
    </row>
    <row r="20" spans="1:23" ht="150" x14ac:dyDescent="0.25">
      <c r="A20" s="126">
        <v>19</v>
      </c>
      <c r="B20" s="111" t="s">
        <v>1465</v>
      </c>
      <c r="C20" s="108" t="s">
        <v>1471</v>
      </c>
      <c r="D20" s="108" t="s">
        <v>1400</v>
      </c>
      <c r="E20" s="111"/>
      <c r="F20" s="111"/>
      <c r="H20" s="111"/>
      <c r="I20" s="108" t="s">
        <v>1401</v>
      </c>
      <c r="J20" s="111" t="s">
        <v>1402</v>
      </c>
      <c r="K20" s="111" t="str">
        <f>CONCATENATE( C1,C20,CHAR(10), D1,D20,CHAR(10), E1,E20,CHAR(10), F1,F20,CHAR(10), G1,G20,CHAR(10), H1,H20,CHAR(10), I1,I20,CHAR(10), J1,J20,CHAR(10), )</f>
        <v xml:space="preserve">Сечение- 2х1,0 мм2
Длина80 м (бухта)
Разъем: 
Напряжение:
Контакты:
Влагозащита:
Температурный режим-10° - +70°
Примечаниеакустический, универсальный (бескислородная медь с добавлением алюминия)
</v>
      </c>
      <c r="L20" s="117">
        <v>29</v>
      </c>
      <c r="M20" s="72" t="s">
        <v>1827</v>
      </c>
      <c r="N20" s="72" t="str">
        <f t="shared" si="0"/>
        <v>Кабель OXL Акустический ССА</v>
      </c>
      <c r="O20" s="72" t="str">
        <f t="shared" si="1"/>
        <v>Кабель OXL Акустический ССА</v>
      </c>
      <c r="P20" s="72" t="s">
        <v>1840</v>
      </c>
      <c r="Q20" s="15"/>
      <c r="R20" s="72" t="s">
        <v>1837</v>
      </c>
      <c r="S20" s="72" t="s">
        <v>1841</v>
      </c>
      <c r="T20" s="72" t="s">
        <v>1842</v>
      </c>
      <c r="U20" s="72" t="s">
        <v>1843</v>
      </c>
      <c r="V20" s="72" t="s">
        <v>1844</v>
      </c>
      <c r="W20" s="72" t="s">
        <v>1837</v>
      </c>
    </row>
    <row r="21" spans="1:23" ht="150" x14ac:dyDescent="0.25">
      <c r="A21" s="126">
        <v>20</v>
      </c>
      <c r="B21" s="111" t="s">
        <v>1465</v>
      </c>
      <c r="C21" s="108" t="s">
        <v>1472</v>
      </c>
      <c r="D21" s="108" t="s">
        <v>1400</v>
      </c>
      <c r="E21" s="111"/>
      <c r="F21" s="111"/>
      <c r="G21" s="111"/>
      <c r="H21" s="111"/>
      <c r="I21" s="108" t="s">
        <v>1401</v>
      </c>
      <c r="J21" s="111" t="s">
        <v>1402</v>
      </c>
      <c r="K21" s="111" t="str">
        <f>CONCATENATE( C1,C21,CHAR(10), D1,D21,CHAR(10), E1,E21,CHAR(10), F1,F21,CHAR(10), G1,G21,CHAR(10), H1,H21,CHAR(10), I1,I21,CHAR(10), J1,J21,CHAR(10), )</f>
        <v xml:space="preserve">Сечение- 2х1,5 мм2
Длина80 м (бухта)
Разъем: 
Напряжение:
Контакты:
Влагозащита:
Температурный режим-10° - +70°
Примечаниеакустический, универсальный (бескислородная медь с добавлением алюминия)
</v>
      </c>
      <c r="L21" s="117">
        <v>39</v>
      </c>
      <c r="M21" s="72" t="s">
        <v>1827</v>
      </c>
      <c r="N21" s="72" t="str">
        <f t="shared" si="0"/>
        <v>Кабель OXL Акустический ССА</v>
      </c>
      <c r="O21" s="72" t="str">
        <f t="shared" si="1"/>
        <v>Кабель OXL Акустический ССА</v>
      </c>
      <c r="P21" s="72" t="s">
        <v>1840</v>
      </c>
      <c r="Q21" s="32"/>
      <c r="R21" s="72" t="s">
        <v>1837</v>
      </c>
      <c r="S21" s="72" t="s">
        <v>1841</v>
      </c>
      <c r="T21" s="72" t="s">
        <v>1842</v>
      </c>
      <c r="U21" s="72" t="s">
        <v>1843</v>
      </c>
      <c r="V21" s="72" t="s">
        <v>1844</v>
      </c>
      <c r="W21" s="72" t="s">
        <v>1837</v>
      </c>
    </row>
    <row r="22" spans="1:23" ht="150" x14ac:dyDescent="0.25">
      <c r="A22" s="126">
        <v>21</v>
      </c>
      <c r="B22" s="111" t="s">
        <v>1465</v>
      </c>
      <c r="C22" s="108" t="s">
        <v>1473</v>
      </c>
      <c r="D22" s="108" t="s">
        <v>1400</v>
      </c>
      <c r="E22" s="111"/>
      <c r="F22" s="108"/>
      <c r="H22" s="108"/>
      <c r="I22" s="108" t="s">
        <v>1401</v>
      </c>
      <c r="J22" s="111" t="s">
        <v>1402</v>
      </c>
      <c r="K22" s="111" t="str">
        <f>CONCATENATE( C1,C22,CHAR(10), D1,D22,CHAR(10), E1,E22,CHAR(10), F1,F22,CHAR(10), G1,G22,CHAR(10), H1,H22,CHAR(10), I1,I22,CHAR(10), J1,J22,CHAR(10), )</f>
        <v xml:space="preserve">Сечение- 2х2,0 мм2
Длина80 м (бухта)
Разъем: 
Напряжение:
Контакты:
Влагозащита:
Температурный режим-10° - +70°
Примечаниеакустический, универсальный (бескислородная медь с добавлением алюминия)
</v>
      </c>
      <c r="L22" s="117">
        <v>49</v>
      </c>
      <c r="M22" s="72" t="s">
        <v>1827</v>
      </c>
      <c r="N22" s="72" t="str">
        <f t="shared" si="0"/>
        <v>Кабель OXL Акустический ССА</v>
      </c>
      <c r="O22" s="72" t="str">
        <f t="shared" si="1"/>
        <v>Кабель OXL Акустический ССА</v>
      </c>
      <c r="P22" s="72" t="s">
        <v>1840</v>
      </c>
      <c r="Q22" s="15"/>
      <c r="R22" s="72" t="s">
        <v>1837</v>
      </c>
      <c r="S22" s="72" t="s">
        <v>1841</v>
      </c>
      <c r="T22" s="72" t="s">
        <v>1842</v>
      </c>
      <c r="U22" s="72" t="s">
        <v>1843</v>
      </c>
      <c r="V22" s="72" t="s">
        <v>1844</v>
      </c>
      <c r="W22" s="72" t="s">
        <v>1837</v>
      </c>
    </row>
    <row r="23" spans="1:23" ht="150" x14ac:dyDescent="0.25">
      <c r="A23" s="126">
        <v>22</v>
      </c>
      <c r="B23" s="111" t="s">
        <v>1461</v>
      </c>
      <c r="C23" s="108" t="s">
        <v>1474</v>
      </c>
      <c r="D23" s="108" t="s">
        <v>1400</v>
      </c>
      <c r="E23" s="111"/>
      <c r="F23" s="108"/>
      <c r="H23" s="108"/>
      <c r="I23" s="108" t="s">
        <v>1401</v>
      </c>
      <c r="J23" s="108" t="s">
        <v>1403</v>
      </c>
      <c r="K23" s="108" t="str">
        <f>CONCATENATE( C1,C23,CHAR(10), D1,D23,CHAR(10), E1,E23,CHAR(10), F1,F23,CHAR(10), G1,G23,CHAR(10), H1,H23,CHAR(10), I1,I23,CHAR(10), J1,J23,CHAR(10), )</f>
        <v xml:space="preserve">Сечение- 2х2,5 мм2
Длина80 м (бухта)
Разъем: 
Напряжение:
Контакты:
Влагозащита:
Температурный режим-10° - +70°
Примечаниеакустический, универсальный (бескислородная медь, силиконовая оплетка)
</v>
      </c>
      <c r="L23" s="117">
        <v>79</v>
      </c>
      <c r="M23" s="72" t="s">
        <v>1827</v>
      </c>
      <c r="N23" s="72" t="str">
        <f t="shared" si="0"/>
        <v>Кабель OXL Акустический BC</v>
      </c>
      <c r="O23" s="72" t="str">
        <f t="shared" si="1"/>
        <v>Кабель OXL Акустический BC</v>
      </c>
      <c r="P23" s="72" t="s">
        <v>1840</v>
      </c>
      <c r="Q23" s="15"/>
      <c r="R23" s="72" t="s">
        <v>1837</v>
      </c>
      <c r="S23" s="72" t="s">
        <v>1841</v>
      </c>
      <c r="T23" s="72" t="s">
        <v>1842</v>
      </c>
      <c r="U23" s="72" t="s">
        <v>1843</v>
      </c>
      <c r="V23" s="72" t="s">
        <v>1844</v>
      </c>
      <c r="W23" s="72" t="s">
        <v>1837</v>
      </c>
    </row>
    <row r="24" spans="1:23" ht="150" x14ac:dyDescent="0.25">
      <c r="A24" s="126">
        <v>23</v>
      </c>
      <c r="B24" s="111" t="s">
        <v>1461</v>
      </c>
      <c r="C24" s="108" t="s">
        <v>1475</v>
      </c>
      <c r="D24" s="108" t="s">
        <v>1400</v>
      </c>
      <c r="E24" s="111"/>
      <c r="F24" s="108"/>
      <c r="H24" s="108"/>
      <c r="I24" s="108" t="s">
        <v>1401</v>
      </c>
      <c r="J24" s="108" t="s">
        <v>1403</v>
      </c>
      <c r="K24" s="108" t="str">
        <f>CONCATENATE( C1,C24,CHAR(10), D1,D24,CHAR(10), E1,E24,CHAR(10), F1,F24,CHAR(10), G1,G24,CHAR(10), H1,H24,CHAR(10), I1,I24,CHAR(10), J1,J24,CHAR(10), )</f>
        <v xml:space="preserve">Сечение- 2х4,0 мм2
Длина80 м (бухта)
Разъем: 
Напряжение:
Контакты:
Влагозащита:
Температурный режим-10° - +70°
Примечаниеакустический, универсальный (бескислородная медь, силиконовая оплетка)
</v>
      </c>
      <c r="L24" s="117">
        <v>99</v>
      </c>
      <c r="M24" s="72" t="s">
        <v>1827</v>
      </c>
      <c r="N24" s="72" t="str">
        <f t="shared" si="0"/>
        <v>Кабель OXL Акустический BC</v>
      </c>
      <c r="O24" s="72" t="str">
        <f t="shared" si="1"/>
        <v>Кабель OXL Акустический BC</v>
      </c>
      <c r="P24" s="72" t="s">
        <v>1840</v>
      </c>
      <c r="Q24" s="15"/>
      <c r="R24" s="72" t="s">
        <v>1837</v>
      </c>
      <c r="S24" s="72" t="s">
        <v>1841</v>
      </c>
      <c r="T24" s="72" t="s">
        <v>1842</v>
      </c>
      <c r="U24" s="72" t="s">
        <v>1843</v>
      </c>
      <c r="V24" s="72" t="s">
        <v>1844</v>
      </c>
      <c r="W24" s="72" t="s">
        <v>1837</v>
      </c>
    </row>
    <row r="25" spans="1:23" ht="150" x14ac:dyDescent="0.25">
      <c r="A25" s="126">
        <v>24</v>
      </c>
      <c r="B25" s="111" t="s">
        <v>1461</v>
      </c>
      <c r="C25" s="108" t="s">
        <v>1404</v>
      </c>
      <c r="D25" s="111"/>
      <c r="E25" s="111"/>
      <c r="F25" s="108"/>
      <c r="H25" s="108"/>
      <c r="I25" s="108"/>
      <c r="J25" s="108" t="s">
        <v>1466</v>
      </c>
      <c r="K25" s="108" t="str">
        <f>CONCATENATE( C1,C25,CHAR(10), D1,D25,CHAR(10), E1,E25,CHAR(10), F1,F25,CHAR(10), G1,G25,CHAR(10), H1,H25,CHAR(10), I1,I25,CHAR(10), J1,J25,CHAR(10), )</f>
        <v xml:space="preserve">Сечение- 2х1,0
Длина
Разъем: 
Напряжение:
Контакты:
Влагозащита:
Температурный режим
Примечаниеакустический (красно-черный) для прокладки к стационарному оборудованию
</v>
      </c>
      <c r="L25" s="117">
        <v>39</v>
      </c>
      <c r="M25" s="72" t="s">
        <v>1827</v>
      </c>
      <c r="N25" s="72" t="str">
        <f t="shared" si="0"/>
        <v>Кабель OXL Акустический BC</v>
      </c>
      <c r="O25" s="72" t="str">
        <f t="shared" si="1"/>
        <v>Кабель OXL Акустический BC</v>
      </c>
      <c r="P25" s="72" t="s">
        <v>1840</v>
      </c>
      <c r="Q25" s="15"/>
      <c r="R25" s="72" t="s">
        <v>1837</v>
      </c>
      <c r="S25" s="72" t="s">
        <v>1841</v>
      </c>
      <c r="T25" s="72" t="s">
        <v>1842</v>
      </c>
      <c r="U25" s="72" t="s">
        <v>1843</v>
      </c>
      <c r="V25" s="72" t="s">
        <v>1844</v>
      </c>
      <c r="W25" s="72" t="s">
        <v>1837</v>
      </c>
    </row>
    <row r="26" spans="1:23" ht="150" x14ac:dyDescent="0.25">
      <c r="A26" s="126">
        <v>25</v>
      </c>
      <c r="B26" s="111" t="s">
        <v>1461</v>
      </c>
      <c r="C26" s="108" t="s">
        <v>1405</v>
      </c>
      <c r="D26" s="111"/>
      <c r="E26" s="111"/>
      <c r="F26" s="108"/>
      <c r="G26" s="108"/>
      <c r="H26" s="108"/>
      <c r="I26" s="108"/>
      <c r="J26" s="108" t="s">
        <v>1466</v>
      </c>
      <c r="K26" s="108" t="str">
        <f>CONCATENATE( C1,C26,CHAR(10), D1,D26,CHAR(10), E1,E26,CHAR(10), F1,F26,CHAR(10), G1,G26,CHAR(10), H1,H26,CHAR(10), I1,I26,CHAR(10), J1,J26,CHAR(10), )</f>
        <v xml:space="preserve">Сечение- 2х1,5
Длина
Разъем: 
Напряжение:
Контакты:
Влагозащита:
Температурный режим
Примечаниеакустический (красно-черный) для прокладки к стационарному оборудованию
</v>
      </c>
      <c r="L26" s="117">
        <v>49</v>
      </c>
      <c r="M26" s="72" t="s">
        <v>1827</v>
      </c>
      <c r="N26" s="72" t="str">
        <f t="shared" si="0"/>
        <v>Кабель OXL Акустический BC</v>
      </c>
      <c r="O26" s="72" t="str">
        <f t="shared" si="1"/>
        <v>Кабель OXL Акустический BC</v>
      </c>
      <c r="P26" s="72" t="s">
        <v>1840</v>
      </c>
      <c r="Q26" s="15"/>
      <c r="R26" s="72" t="s">
        <v>1837</v>
      </c>
      <c r="S26" s="72" t="s">
        <v>1841</v>
      </c>
      <c r="T26" s="72" t="s">
        <v>1842</v>
      </c>
      <c r="U26" s="72" t="s">
        <v>1843</v>
      </c>
      <c r="V26" s="72" t="s">
        <v>1844</v>
      </c>
      <c r="W26" s="72" t="s">
        <v>1837</v>
      </c>
    </row>
    <row r="27" spans="1:23" ht="150" x14ac:dyDescent="0.25">
      <c r="A27" s="126">
        <v>26</v>
      </c>
      <c r="B27" s="111" t="s">
        <v>1398</v>
      </c>
      <c r="C27" s="108" t="s">
        <v>1407</v>
      </c>
      <c r="D27" s="111"/>
      <c r="E27" s="111"/>
      <c r="F27" s="108"/>
      <c r="H27" s="108"/>
      <c r="I27" s="108"/>
      <c r="J27" s="108" t="s">
        <v>1406</v>
      </c>
      <c r="K27" s="108" t="str">
        <f>CONCATENATE( C1,C27,CHAR(10), D1,D27,CHAR(10), E1,E27,CHAR(10), F1,F27,CHAR(10), G1,G27,CHAR(10), H1,H27,CHAR(10), I1,I27,CHAR(10), J1,J27,CHAR(10), )</f>
        <v xml:space="preserve">Сечение- 2х0,4+ экран
Длина
Разъем: 
Напряжение:
Контакты:
Влагозащита:
Температурный режим
Примечаниевитая пара, экранированный (сигнальный)
</v>
      </c>
      <c r="L27" s="117">
        <v>39</v>
      </c>
      <c r="M27" s="72" t="s">
        <v>1827</v>
      </c>
      <c r="N27" s="72" t="str">
        <f t="shared" si="0"/>
        <v>Кабель OXL</v>
      </c>
      <c r="O27" s="72" t="str">
        <f t="shared" si="1"/>
        <v>Кабель OXL</v>
      </c>
      <c r="P27" s="72" t="s">
        <v>1840</v>
      </c>
      <c r="Q27" s="15"/>
      <c r="R27" s="72" t="s">
        <v>1837</v>
      </c>
      <c r="S27" s="72" t="s">
        <v>1841</v>
      </c>
      <c r="T27" s="72" t="s">
        <v>1842</v>
      </c>
      <c r="U27" s="72" t="s">
        <v>1843</v>
      </c>
      <c r="V27" s="72" t="s">
        <v>1844</v>
      </c>
      <c r="W27" s="72" t="s">
        <v>1837</v>
      </c>
    </row>
    <row r="28" spans="1:23" ht="150" x14ac:dyDescent="0.25">
      <c r="A28" s="126">
        <v>27</v>
      </c>
      <c r="B28" s="111" t="s">
        <v>1398</v>
      </c>
      <c r="C28" s="108" t="s">
        <v>1408</v>
      </c>
      <c r="D28" s="111"/>
      <c r="E28" s="111"/>
      <c r="F28" s="108"/>
      <c r="H28" s="108"/>
      <c r="I28" s="108"/>
      <c r="J28" s="108" t="s">
        <v>1406</v>
      </c>
      <c r="K28" s="108" t="str">
        <f>CONCATENATE( C1,C28,CHAR(10), D1,D28,CHAR(10), E1,E28,CHAR(10), F1,F28,CHAR(10), G1,G28,CHAR(10), H1,H28,CHAR(10), I1,I28,CHAR(10), J1,J28,CHAR(10), )</f>
        <v xml:space="preserve">Сечение- 2х0,6+ экран
Длина
Разъем: 
Напряжение:
Контакты:
Влагозащита:
Температурный режим
Примечаниевитая пара, экранированный (сигнальный)
</v>
      </c>
      <c r="L28" s="117">
        <v>49</v>
      </c>
      <c r="M28" s="72" t="s">
        <v>1827</v>
      </c>
      <c r="N28" s="72" t="str">
        <f t="shared" si="0"/>
        <v>Кабель OXL</v>
      </c>
      <c r="O28" s="72" t="str">
        <f t="shared" si="1"/>
        <v>Кабель OXL</v>
      </c>
      <c r="P28" s="72" t="s">
        <v>1840</v>
      </c>
      <c r="Q28" s="15"/>
      <c r="R28" s="72" t="s">
        <v>1837</v>
      </c>
      <c r="S28" s="72" t="s">
        <v>1841</v>
      </c>
      <c r="T28" s="72" t="s">
        <v>1842</v>
      </c>
      <c r="U28" s="72" t="s">
        <v>1843</v>
      </c>
      <c r="V28" s="72" t="s">
        <v>1844</v>
      </c>
      <c r="W28" s="72" t="s">
        <v>1837</v>
      </c>
    </row>
    <row r="29" spans="1:23" ht="150" x14ac:dyDescent="0.25">
      <c r="A29" s="126">
        <v>28</v>
      </c>
      <c r="B29" s="111" t="s">
        <v>1398</v>
      </c>
      <c r="C29" s="108" t="s">
        <v>1409</v>
      </c>
      <c r="D29" s="111"/>
      <c r="E29" s="111"/>
      <c r="F29" s="108"/>
      <c r="H29" s="108"/>
      <c r="I29" s="108"/>
      <c r="J29" s="108" t="s">
        <v>1406</v>
      </c>
      <c r="K29" s="108" t="str">
        <f>CONCATENATE( C1,C29,CHAR(10), D1,D29,CHAR(10), E1,E29,CHAR(10), F1,F29,CHAR(10), G1,G29,CHAR(10), H1,H29,CHAR(10), I1,I29,CHAR(10), J1,J29,CHAR(10), )</f>
        <v xml:space="preserve">Сечение- 2х0,8+ экран
Длина
Разъем: 
Напряжение:
Контакты:
Влагозащита:
Температурный режим
Примечаниевитая пара, экранированный (сигнальный)
</v>
      </c>
      <c r="L29" s="117">
        <v>59</v>
      </c>
      <c r="M29" s="72" t="s">
        <v>1827</v>
      </c>
      <c r="N29" s="72" t="str">
        <f t="shared" si="0"/>
        <v>Кабель OXL</v>
      </c>
      <c r="O29" s="72" t="str">
        <f t="shared" si="1"/>
        <v>Кабель OXL</v>
      </c>
      <c r="P29" s="72" t="s">
        <v>1840</v>
      </c>
      <c r="Q29" s="15"/>
      <c r="R29" s="72" t="s">
        <v>1837</v>
      </c>
      <c r="S29" s="72" t="s">
        <v>1841</v>
      </c>
      <c r="T29" s="72" t="s">
        <v>1842</v>
      </c>
      <c r="U29" s="72" t="s">
        <v>1843</v>
      </c>
      <c r="V29" s="72" t="s">
        <v>1844</v>
      </c>
      <c r="W29" s="72" t="s">
        <v>1837</v>
      </c>
    </row>
    <row r="30" spans="1:23" ht="150" x14ac:dyDescent="0.25">
      <c r="A30" s="126">
        <v>29</v>
      </c>
      <c r="B30" s="111" t="s">
        <v>1410</v>
      </c>
      <c r="C30" s="108">
        <v>-0.6</v>
      </c>
      <c r="D30" s="111"/>
      <c r="E30" s="111"/>
      <c r="F30" s="108"/>
      <c r="H30" s="108"/>
      <c r="I30" s="108"/>
      <c r="J30" s="108" t="s">
        <v>1411</v>
      </c>
      <c r="K30" s="108" t="str">
        <f>CONCATENATE( C1,C30,CHAR(10), D1,D30,CHAR(10), E1,E30,CHAR(10), F1,F30,CHAR(10), G1,G30,CHAR(10), H1,H30,CHAR(10), I1,I30,CHAR(10), J1,J30,CHAR(10), )</f>
        <v xml:space="preserve">Сечение-0.6
Длина
Разъем: 
Напряжение:
Контакты:
Влагозащита:
Температурный режим
Примечаниеэкранированный (микрофонный, DMX) (красный)
</v>
      </c>
      <c r="L30" s="117">
        <v>59</v>
      </c>
      <c r="M30" s="72" t="s">
        <v>1827</v>
      </c>
      <c r="N30" s="72" t="str">
        <f t="shared" si="0"/>
        <v>Кабель</v>
      </c>
      <c r="O30" s="72" t="str">
        <f t="shared" si="1"/>
        <v>Кабель</v>
      </c>
      <c r="P30" s="72" t="s">
        <v>1840</v>
      </c>
      <c r="Q30" s="15"/>
      <c r="R30" s="72" t="s">
        <v>1837</v>
      </c>
      <c r="S30" s="72" t="s">
        <v>1841</v>
      </c>
      <c r="T30" s="72" t="s">
        <v>1842</v>
      </c>
      <c r="U30" s="72" t="s">
        <v>1843</v>
      </c>
      <c r="V30" s="72" t="s">
        <v>1844</v>
      </c>
      <c r="W30" s="72" t="s">
        <v>1837</v>
      </c>
    </row>
    <row r="31" spans="1:23" ht="150" x14ac:dyDescent="0.25">
      <c r="A31" s="126">
        <v>30</v>
      </c>
      <c r="B31" s="111" t="s">
        <v>1410</v>
      </c>
      <c r="C31" s="108">
        <v>-0.8</v>
      </c>
      <c r="D31" s="111"/>
      <c r="E31" s="111"/>
      <c r="F31" s="108"/>
      <c r="H31" s="108"/>
      <c r="I31" s="108"/>
      <c r="J31" s="108" t="s">
        <v>1411</v>
      </c>
      <c r="K31" s="108" t="str">
        <f>CONCATENATE( C1,C31,CHAR(10), D1,D31,CHAR(10), E1,E31,CHAR(10), F1,F31,CHAR(10), G1,G31,CHAR(10), H1,H31,CHAR(10), I1,I31,CHAR(10), J1,J31,CHAR(10), )</f>
        <v xml:space="preserve">Сечение-0.8
Длина
Разъем: 
Напряжение:
Контакты:
Влагозащита:
Температурный режим
Примечаниеэкранированный (микрофонный, DMX) (красный)
</v>
      </c>
      <c r="L31" s="117">
        <v>69</v>
      </c>
      <c r="M31" s="72" t="s">
        <v>1827</v>
      </c>
      <c r="N31" s="72" t="str">
        <f t="shared" si="0"/>
        <v>Кабель</v>
      </c>
      <c r="O31" s="72" t="str">
        <f t="shared" si="1"/>
        <v>Кабель</v>
      </c>
      <c r="P31" s="72" t="s">
        <v>1840</v>
      </c>
      <c r="Q31" s="15"/>
      <c r="R31" s="72" t="s">
        <v>1837</v>
      </c>
      <c r="S31" s="72" t="s">
        <v>1841</v>
      </c>
      <c r="T31" s="72" t="s">
        <v>1842</v>
      </c>
      <c r="U31" s="72" t="s">
        <v>1843</v>
      </c>
      <c r="V31" s="72" t="s">
        <v>1844</v>
      </c>
      <c r="W31" s="72" t="s">
        <v>1837</v>
      </c>
    </row>
    <row r="32" spans="1:23" ht="135" x14ac:dyDescent="0.25">
      <c r="A32" s="126">
        <v>31</v>
      </c>
      <c r="B32" s="111" t="s">
        <v>1412</v>
      </c>
      <c r="C32" s="111"/>
      <c r="D32" s="108" t="s">
        <v>1476</v>
      </c>
      <c r="E32" s="111"/>
      <c r="F32" s="108"/>
      <c r="G32" s="108">
        <v>3</v>
      </c>
      <c r="H32" s="108"/>
      <c r="I32" s="108" t="s">
        <v>1401</v>
      </c>
      <c r="J32" s="108" t="s">
        <v>1413</v>
      </c>
      <c r="K32" s="108" t="str">
        <f>CONCATENATE( C1,C32,CHAR(10), D1,D32,CHAR(10), E1,E32,CHAR(10), F1,F32,CHAR(10), G1,G32,CHAR(10), H1,H32,CHAR(10), I1,I32,CHAR(10), J1,J32,CHAR(10), )</f>
        <v xml:space="preserve">Сечение
Длина- 0,5 м – Ø 0,4 мм2
Разъем: 
Напряжение:
Контакты:3
Влагозащита:
Температурный режим-10° - +70°
Примечаниеэкранированный (сигнальный)
</v>
      </c>
      <c r="L32" s="108"/>
      <c r="M32" s="72" t="s">
        <v>1827</v>
      </c>
      <c r="N32" s="72" t="str">
        <f t="shared" si="0"/>
        <v>Провод XLR-f - XLR-m MCF</v>
      </c>
      <c r="O32" s="72" t="str">
        <f t="shared" si="1"/>
        <v>Провод XLR-f - XLR-m MCF</v>
      </c>
      <c r="P32" s="72" t="s">
        <v>1840</v>
      </c>
      <c r="Q32" s="15"/>
      <c r="R32" s="72" t="s">
        <v>1837</v>
      </c>
      <c r="S32" s="72" t="s">
        <v>1841</v>
      </c>
      <c r="T32" s="72" t="s">
        <v>1842</v>
      </c>
      <c r="U32" s="72" t="s">
        <v>1843</v>
      </c>
      <c r="V32" s="72" t="s">
        <v>1844</v>
      </c>
      <c r="W32" s="72" t="s">
        <v>1837</v>
      </c>
    </row>
    <row r="33" spans="1:23" ht="135" x14ac:dyDescent="0.25">
      <c r="A33" s="126">
        <v>32</v>
      </c>
      <c r="B33" s="111" t="s">
        <v>1412</v>
      </c>
      <c r="C33" s="111"/>
      <c r="D33" s="108" t="s">
        <v>1477</v>
      </c>
      <c r="E33" s="111"/>
      <c r="F33" s="108"/>
      <c r="G33" s="108">
        <v>3</v>
      </c>
      <c r="H33" s="108"/>
      <c r="I33" s="108" t="s">
        <v>1401</v>
      </c>
      <c r="J33" s="108" t="s">
        <v>1413</v>
      </c>
      <c r="K33" s="108" t="str">
        <f>CONCATENATE( C1,C33,CHAR(10), D1,D33,CHAR(10), E1,E33,CHAR(10), F1,F33,CHAR(10), G1,G33,CHAR(10), H1,H33,CHAR(10), I1,I33,CHAR(10), J1,J33,CHAR(10), )</f>
        <v xml:space="preserve">Сечение
Длина- 0,5 м – Ø 0,5 мм2
Разъем: 
Напряжение:
Контакты:3
Влагозащита:
Температурный режим-10° - +70°
Примечаниеэкранированный (сигнальный)
</v>
      </c>
      <c r="L33" s="117" t="s">
        <v>1414</v>
      </c>
      <c r="M33" s="72" t="s">
        <v>1827</v>
      </c>
      <c r="N33" s="72" t="str">
        <f t="shared" si="0"/>
        <v>Провод XLR-f - XLR-m MCF</v>
      </c>
      <c r="O33" s="72" t="str">
        <f t="shared" si="1"/>
        <v>Провод XLR-f - XLR-m MCF</v>
      </c>
      <c r="P33" s="72" t="s">
        <v>1840</v>
      </c>
      <c r="Q33" s="15"/>
      <c r="R33" s="72" t="s">
        <v>1837</v>
      </c>
      <c r="S33" s="72" t="s">
        <v>1841</v>
      </c>
      <c r="T33" s="72" t="s">
        <v>1842</v>
      </c>
      <c r="U33" s="72" t="s">
        <v>1843</v>
      </c>
      <c r="V33" s="72" t="s">
        <v>1844</v>
      </c>
      <c r="W33" s="72" t="s">
        <v>1837</v>
      </c>
    </row>
    <row r="34" spans="1:23" ht="135" x14ac:dyDescent="0.25">
      <c r="A34" s="126">
        <v>33</v>
      </c>
      <c r="B34" s="111" t="s">
        <v>1412</v>
      </c>
      <c r="C34" s="111"/>
      <c r="D34" s="108" t="s">
        <v>1478</v>
      </c>
      <c r="E34" s="111"/>
      <c r="F34" s="108"/>
      <c r="G34" s="108">
        <v>3</v>
      </c>
      <c r="H34" s="108"/>
      <c r="I34" s="108" t="s">
        <v>1401</v>
      </c>
      <c r="J34" s="108" t="s">
        <v>1413</v>
      </c>
      <c r="K34" s="108" t="str">
        <f>CONCATENATE( C1,C34,CHAR(10), D1,D34,CHAR(10), E1,E34,CHAR(10), F1,F34,CHAR(10), G1,G34,CHAR(10), H1,H34,CHAR(10), I1,I34,CHAR(10), J1,J34,CHAR(10), )</f>
        <v xml:space="preserve">Сечение
Длина- 1 м – Ø 0,4 мм2
Разъем: 
Напряжение:
Контакты:3
Влагозащита:
Температурный режим-10° - +70°
Примечаниеэкранированный (сигнальный)
</v>
      </c>
      <c r="L34" s="117" t="s">
        <v>1415</v>
      </c>
      <c r="M34" s="72" t="s">
        <v>1827</v>
      </c>
      <c r="N34" s="72" t="str">
        <f t="shared" si="0"/>
        <v>Провод XLR-f - XLR-m MCF</v>
      </c>
      <c r="O34" s="72" t="str">
        <f t="shared" si="1"/>
        <v>Провод XLR-f - XLR-m MCF</v>
      </c>
      <c r="P34" s="72" t="s">
        <v>1840</v>
      </c>
      <c r="Q34" s="15"/>
      <c r="R34" s="72" t="s">
        <v>1837</v>
      </c>
      <c r="S34" s="72" t="s">
        <v>1841</v>
      </c>
      <c r="T34" s="72" t="s">
        <v>1842</v>
      </c>
      <c r="U34" s="72" t="s">
        <v>1843</v>
      </c>
      <c r="V34" s="72" t="s">
        <v>1844</v>
      </c>
      <c r="W34" s="72" t="s">
        <v>1837</v>
      </c>
    </row>
    <row r="35" spans="1:23" ht="135" x14ac:dyDescent="0.25">
      <c r="A35" s="126">
        <v>34</v>
      </c>
      <c r="B35" s="111" t="s">
        <v>1412</v>
      </c>
      <c r="C35" s="111"/>
      <c r="D35" s="108" t="s">
        <v>1479</v>
      </c>
      <c r="E35" s="111"/>
      <c r="F35" s="108"/>
      <c r="G35" s="108">
        <v>3</v>
      </c>
      <c r="H35" s="108"/>
      <c r="I35" s="108" t="s">
        <v>1401</v>
      </c>
      <c r="J35" s="108" t="s">
        <v>1413</v>
      </c>
      <c r="K35" s="108" t="str">
        <f>CONCATENATE( C1,C35,CHAR(10), D1,D35,CHAR(10), E1,E35,CHAR(10), F1,F35,CHAR(10), G1,G35,CHAR(10), H1,H35,CHAR(10), I1,I35,CHAR(10), J1,J35,CHAR(10), )</f>
        <v xml:space="preserve">Сечение
Длина- 1 м – Ø 0,5 мм2
Разъем: 
Напряжение:
Контакты:3
Влагозащита:
Температурный режим-10° - +70°
Примечаниеэкранированный (сигнальный)
</v>
      </c>
      <c r="L35" s="117" t="s">
        <v>1416</v>
      </c>
      <c r="M35" s="72" t="s">
        <v>1827</v>
      </c>
      <c r="N35" s="72" t="str">
        <f t="shared" si="0"/>
        <v>Провод XLR-f - XLR-m MCF</v>
      </c>
      <c r="O35" s="72" t="str">
        <f t="shared" si="1"/>
        <v>Провод XLR-f - XLR-m MCF</v>
      </c>
      <c r="P35" s="72" t="s">
        <v>1840</v>
      </c>
      <c r="Q35" s="15"/>
      <c r="R35" s="72" t="s">
        <v>1837</v>
      </c>
      <c r="S35" s="72" t="s">
        <v>1841</v>
      </c>
      <c r="T35" s="72" t="s">
        <v>1842</v>
      </c>
      <c r="U35" s="72" t="s">
        <v>1843</v>
      </c>
      <c r="V35" s="72" t="s">
        <v>1844</v>
      </c>
      <c r="W35" s="72" t="s">
        <v>1837</v>
      </c>
    </row>
    <row r="36" spans="1:23" ht="135" x14ac:dyDescent="0.25">
      <c r="A36" s="126">
        <v>35</v>
      </c>
      <c r="B36" s="111" t="s">
        <v>1412</v>
      </c>
      <c r="C36" s="111"/>
      <c r="D36" s="108" t="s">
        <v>1480</v>
      </c>
      <c r="E36" s="111"/>
      <c r="F36" s="108"/>
      <c r="G36" s="108">
        <v>3</v>
      </c>
      <c r="H36" s="108"/>
      <c r="I36" s="108" t="s">
        <v>1401</v>
      </c>
      <c r="J36" s="108" t="s">
        <v>1413</v>
      </c>
      <c r="K36" s="108" t="str">
        <f>CONCATENATE( C1,C36,CHAR(10), D1,D36,CHAR(10), E1,E36,CHAR(10), F1,F36,CHAR(10), G1,G36,CHAR(10), H1,H36,CHAR(10), I1,I36,CHAR(10), J1,J36,CHAR(10), )</f>
        <v xml:space="preserve">Сечение
Длина- 3 м – Ø 0,4 мм2
Разъем: 
Напряжение:
Контакты:3
Влагозащита:
Температурный режим-10° - +70°
Примечаниеэкранированный (сигнальный)
</v>
      </c>
      <c r="L36" s="117" t="s">
        <v>1417</v>
      </c>
      <c r="M36" s="72" t="s">
        <v>1827</v>
      </c>
      <c r="N36" s="72" t="str">
        <f t="shared" si="0"/>
        <v>Провод XLR-f - XLR-m MCF</v>
      </c>
      <c r="O36" s="72" t="str">
        <f t="shared" si="1"/>
        <v>Провод XLR-f - XLR-m MCF</v>
      </c>
      <c r="P36" s="72" t="s">
        <v>1840</v>
      </c>
      <c r="Q36" s="15"/>
      <c r="R36" s="72" t="s">
        <v>1837</v>
      </c>
      <c r="S36" s="72" t="s">
        <v>1841</v>
      </c>
      <c r="T36" s="72" t="s">
        <v>1842</v>
      </c>
      <c r="U36" s="72" t="s">
        <v>1843</v>
      </c>
      <c r="V36" s="72" t="s">
        <v>1844</v>
      </c>
      <c r="W36" s="72" t="s">
        <v>1837</v>
      </c>
    </row>
    <row r="37" spans="1:23" ht="135" x14ac:dyDescent="0.25">
      <c r="A37" s="126">
        <v>36</v>
      </c>
      <c r="B37" s="111" t="s">
        <v>1412</v>
      </c>
      <c r="C37" s="111"/>
      <c r="D37" s="108" t="s">
        <v>1481</v>
      </c>
      <c r="E37" s="111"/>
      <c r="F37" s="108"/>
      <c r="G37" s="108">
        <v>3</v>
      </c>
      <c r="H37" s="108"/>
      <c r="I37" s="108" t="s">
        <v>1401</v>
      </c>
      <c r="J37" s="108" t="s">
        <v>1413</v>
      </c>
      <c r="K37" s="108" t="str">
        <f>CONCATENATE( C1,C37,CHAR(10), D1,D37,CHAR(10), E1,E37,CHAR(10), F1,F37,CHAR(10), G1,G37,CHAR(10), H1,H37,CHAR(10), I1,I37,CHAR(10), J1,J37,CHAR(10), )</f>
        <v xml:space="preserve">Сечение
Длина- 3 м – Ø 0,5 мм2
Разъем: 
Напряжение:
Контакты:3
Влагозащита:
Температурный режим-10° - +70°
Примечаниеэкранированный (сигнальный)
</v>
      </c>
      <c r="L37" s="117" t="s">
        <v>1418</v>
      </c>
      <c r="M37" s="72" t="s">
        <v>1827</v>
      </c>
      <c r="N37" s="72" t="str">
        <f t="shared" si="0"/>
        <v>Провод XLR-f - XLR-m MCF</v>
      </c>
      <c r="O37" s="72" t="str">
        <f t="shared" si="1"/>
        <v>Провод XLR-f - XLR-m MCF</v>
      </c>
      <c r="P37" s="72" t="s">
        <v>1840</v>
      </c>
      <c r="Q37" s="15"/>
      <c r="R37" s="72" t="s">
        <v>1837</v>
      </c>
      <c r="S37" s="72" t="s">
        <v>1841</v>
      </c>
      <c r="T37" s="72" t="s">
        <v>1842</v>
      </c>
      <c r="U37" s="72" t="s">
        <v>1843</v>
      </c>
      <c r="V37" s="72" t="s">
        <v>1844</v>
      </c>
      <c r="W37" s="72" t="s">
        <v>1837</v>
      </c>
    </row>
    <row r="38" spans="1:23" ht="135" x14ac:dyDescent="0.25">
      <c r="A38" s="126">
        <v>37</v>
      </c>
      <c r="B38" s="111" t="s">
        <v>1412</v>
      </c>
      <c r="C38" s="111"/>
      <c r="D38" s="108" t="s">
        <v>1482</v>
      </c>
      <c r="E38" s="111"/>
      <c r="F38" s="108"/>
      <c r="G38" s="108">
        <v>3</v>
      </c>
      <c r="H38" s="108"/>
      <c r="I38" s="108" t="s">
        <v>1401</v>
      </c>
      <c r="J38" s="108" t="s">
        <v>1413</v>
      </c>
      <c r="K38" s="108" t="str">
        <f>CONCATENATE( C1,C38,CHAR(10), D1,D38,CHAR(10), E1,E38,CHAR(10), F1,F38,CHAR(10), G1,G38,CHAR(10), H1,H38,CHAR(10), I1,I38,CHAR(10), J1,J38,CHAR(10), )</f>
        <v xml:space="preserve">Сечение
Длина- 5 м – Ø 0,4 мм2
Разъем: 
Напряжение:
Контакты:3
Влагозащита:
Температурный режим-10° - +70°
Примечаниеэкранированный (сигнальный)
</v>
      </c>
      <c r="L38" s="117" t="s">
        <v>1419</v>
      </c>
      <c r="M38" s="72" t="s">
        <v>1827</v>
      </c>
      <c r="N38" s="72" t="str">
        <f t="shared" si="0"/>
        <v>Провод XLR-f - XLR-m MCF</v>
      </c>
      <c r="O38" s="72" t="str">
        <f t="shared" si="1"/>
        <v>Провод XLR-f - XLR-m MCF</v>
      </c>
      <c r="P38" s="72" t="s">
        <v>1840</v>
      </c>
      <c r="Q38" s="15"/>
      <c r="R38" s="72" t="s">
        <v>1837</v>
      </c>
      <c r="S38" s="72" t="s">
        <v>1841</v>
      </c>
      <c r="T38" s="72" t="s">
        <v>1842</v>
      </c>
      <c r="U38" s="72" t="s">
        <v>1843</v>
      </c>
      <c r="V38" s="72" t="s">
        <v>1844</v>
      </c>
      <c r="W38" s="72" t="s">
        <v>1837</v>
      </c>
    </row>
    <row r="39" spans="1:23" ht="135" x14ac:dyDescent="0.25">
      <c r="A39" s="126">
        <v>38</v>
      </c>
      <c r="B39" s="111" t="s">
        <v>1412</v>
      </c>
      <c r="C39" s="111"/>
      <c r="D39" s="108" t="s">
        <v>1483</v>
      </c>
      <c r="E39" s="111"/>
      <c r="F39" s="108"/>
      <c r="G39" s="108">
        <v>3</v>
      </c>
      <c r="H39" s="108"/>
      <c r="I39" s="108" t="s">
        <v>1401</v>
      </c>
      <c r="J39" s="108" t="s">
        <v>1413</v>
      </c>
      <c r="K39" s="108" t="str">
        <f>CONCATENATE( C1,C39,CHAR(10), D1,D39,CHAR(10), E1,E39,CHAR(10), F1,F39,CHAR(10), G1,G39,CHAR(10), H1,H39,CHAR(10), I1,I39,CHAR(10), J1,J39,CHAR(10), )</f>
        <v xml:space="preserve">Сечение
Длина- 5 м – Ø 0,5 мм2
Разъем: 
Напряжение:
Контакты:3
Влагозащита:
Температурный режим-10° - +70°
Примечаниеэкранированный (сигнальный)
</v>
      </c>
      <c r="L39" s="117" t="s">
        <v>1420</v>
      </c>
      <c r="M39" s="72" t="s">
        <v>1827</v>
      </c>
      <c r="N39" s="72" t="str">
        <f t="shared" si="0"/>
        <v>Провод XLR-f - XLR-m MCF</v>
      </c>
      <c r="O39" s="72" t="str">
        <f t="shared" si="1"/>
        <v>Провод XLR-f - XLR-m MCF</v>
      </c>
      <c r="P39" s="72" t="s">
        <v>1840</v>
      </c>
      <c r="Q39" s="15"/>
      <c r="R39" s="72" t="s">
        <v>1837</v>
      </c>
      <c r="S39" s="72" t="s">
        <v>1841</v>
      </c>
      <c r="T39" s="72" t="s">
        <v>1842</v>
      </c>
      <c r="U39" s="72" t="s">
        <v>1843</v>
      </c>
      <c r="V39" s="72" t="s">
        <v>1844</v>
      </c>
      <c r="W39" s="72" t="s">
        <v>1837</v>
      </c>
    </row>
    <row r="40" spans="1:23" ht="135" x14ac:dyDescent="0.25">
      <c r="A40" s="126">
        <v>39</v>
      </c>
      <c r="B40" s="111" t="s">
        <v>1412</v>
      </c>
      <c r="C40" s="111"/>
      <c r="D40" s="108" t="s">
        <v>1484</v>
      </c>
      <c r="E40" s="111"/>
      <c r="F40" s="108"/>
      <c r="G40" s="108">
        <v>3</v>
      </c>
      <c r="H40" s="108"/>
      <c r="I40" s="108" t="s">
        <v>1401</v>
      </c>
      <c r="J40" s="108" t="s">
        <v>1413</v>
      </c>
      <c r="K40" s="108" t="str">
        <f>CONCATENATE( C1,C40,CHAR(10), D1,D40,CHAR(10), E1,E40,CHAR(10), F1,F40,CHAR(10), G1,G40,CHAR(10), H1,H40,CHAR(10), I1,I40,CHAR(10), J1,J40,CHAR(10), )</f>
        <v xml:space="preserve">Сечение
Длина- 10 м – Ø 0,4 мм2
Разъем: 
Напряжение:
Контакты:3
Влагозащита:
Температурный режим-10° - +70°
Примечаниеэкранированный (сигнальный)
</v>
      </c>
      <c r="L40" s="117" t="s">
        <v>1421</v>
      </c>
      <c r="M40" s="72" t="s">
        <v>1827</v>
      </c>
      <c r="N40" s="72" t="str">
        <f t="shared" si="0"/>
        <v>Провод XLR-f - XLR-m MCF</v>
      </c>
      <c r="O40" s="72" t="str">
        <f t="shared" si="1"/>
        <v>Провод XLR-f - XLR-m MCF</v>
      </c>
      <c r="P40" s="72" t="s">
        <v>1840</v>
      </c>
      <c r="Q40" s="15"/>
      <c r="R40" s="72" t="s">
        <v>1837</v>
      </c>
      <c r="S40" s="72" t="s">
        <v>1841</v>
      </c>
      <c r="T40" s="72" t="s">
        <v>1842</v>
      </c>
      <c r="U40" s="72" t="s">
        <v>1843</v>
      </c>
      <c r="V40" s="72" t="s">
        <v>1844</v>
      </c>
      <c r="W40" s="72" t="s">
        <v>1837</v>
      </c>
    </row>
    <row r="41" spans="1:23" ht="135" x14ac:dyDescent="0.25">
      <c r="A41" s="126">
        <v>40</v>
      </c>
      <c r="B41" s="111" t="s">
        <v>1412</v>
      </c>
      <c r="C41" s="111"/>
      <c r="D41" s="108" t="s">
        <v>1485</v>
      </c>
      <c r="E41" s="111"/>
      <c r="F41" s="108"/>
      <c r="G41" s="108">
        <v>3</v>
      </c>
      <c r="H41" s="108"/>
      <c r="I41" s="108" t="s">
        <v>1401</v>
      </c>
      <c r="J41" s="108" t="s">
        <v>1413</v>
      </c>
      <c r="K41" s="108" t="str">
        <f>CONCATENATE( C1,C41,CHAR(10), D1,D41,CHAR(10), E1,E41,CHAR(10), F1,F41,CHAR(10), G1,G41,CHAR(10), H1,H41,CHAR(10), I1,I41,CHAR(10), J1,J41,CHAR(10), )</f>
        <v xml:space="preserve">Сечение
Длина- 10 м – Ø 0,5 мм2
Разъем: 
Напряжение:
Контакты:3
Влагозащита:
Температурный режим-10° - +70°
Примечаниеэкранированный (сигнальный)
</v>
      </c>
      <c r="L41" s="117" t="s">
        <v>1422</v>
      </c>
      <c r="M41" s="72" t="s">
        <v>1827</v>
      </c>
      <c r="N41" s="72" t="str">
        <f t="shared" si="0"/>
        <v>Провод XLR-f - XLR-m MCF</v>
      </c>
      <c r="O41" s="72" t="str">
        <f t="shared" si="1"/>
        <v>Провод XLR-f - XLR-m MCF</v>
      </c>
      <c r="P41" s="72" t="s">
        <v>1840</v>
      </c>
      <c r="Q41" s="15"/>
      <c r="R41" s="72" t="s">
        <v>1837</v>
      </c>
      <c r="S41" s="72" t="s">
        <v>1841</v>
      </c>
      <c r="T41" s="72" t="s">
        <v>1842</v>
      </c>
      <c r="U41" s="72" t="s">
        <v>1843</v>
      </c>
      <c r="V41" s="72" t="s">
        <v>1844</v>
      </c>
      <c r="W41" s="72" t="s">
        <v>1837</v>
      </c>
    </row>
    <row r="42" spans="1:23" ht="135" x14ac:dyDescent="0.25">
      <c r="A42" s="126">
        <v>41</v>
      </c>
      <c r="B42" s="111" t="s">
        <v>1412</v>
      </c>
      <c r="C42" s="111"/>
      <c r="D42" s="108" t="s">
        <v>1486</v>
      </c>
      <c r="E42" s="111"/>
      <c r="F42" s="108"/>
      <c r="G42" s="108">
        <v>3</v>
      </c>
      <c r="H42" s="108"/>
      <c r="I42" s="108" t="s">
        <v>1401</v>
      </c>
      <c r="J42" s="108" t="s">
        <v>1413</v>
      </c>
      <c r="K42" s="108" t="str">
        <f>CONCATENATE( C1,C42,CHAR(10), D1,D42,CHAR(10), E1,E42,CHAR(10), F1,F42,CHAR(10), G1,G42,CHAR(10), H1,H42,CHAR(10), I1,I42,CHAR(10), J1,J42,CHAR(10), )</f>
        <v xml:space="preserve">Сечение
Длина- 15 м – Ø 0,4 мм2
Разъем: 
Напряжение:
Контакты:3
Влагозащита:
Температурный режим-10° - +70°
Примечаниеэкранированный (сигнальный)
</v>
      </c>
      <c r="L42" s="117" t="s">
        <v>1423</v>
      </c>
      <c r="M42" s="72" t="s">
        <v>1827</v>
      </c>
      <c r="N42" s="72" t="str">
        <f t="shared" si="0"/>
        <v>Провод XLR-f - XLR-m MCF</v>
      </c>
      <c r="O42" s="72" t="str">
        <f t="shared" si="1"/>
        <v>Провод XLR-f - XLR-m MCF</v>
      </c>
      <c r="P42" s="72" t="s">
        <v>1840</v>
      </c>
      <c r="Q42" s="15"/>
      <c r="R42" s="72" t="s">
        <v>1837</v>
      </c>
      <c r="S42" s="72" t="s">
        <v>1841</v>
      </c>
      <c r="T42" s="72" t="s">
        <v>1842</v>
      </c>
      <c r="U42" s="72" t="s">
        <v>1843</v>
      </c>
      <c r="V42" s="72" t="s">
        <v>1844</v>
      </c>
      <c r="W42" s="72" t="s">
        <v>1837</v>
      </c>
    </row>
    <row r="43" spans="1:23" ht="135" x14ac:dyDescent="0.25">
      <c r="A43" s="126">
        <v>42</v>
      </c>
      <c r="B43" s="111" t="s">
        <v>1412</v>
      </c>
      <c r="C43" s="111"/>
      <c r="D43" s="108" t="s">
        <v>1487</v>
      </c>
      <c r="E43" s="111"/>
      <c r="F43" s="108"/>
      <c r="G43" s="108">
        <v>3</v>
      </c>
      <c r="H43" s="108"/>
      <c r="I43" s="108" t="s">
        <v>1401</v>
      </c>
      <c r="J43" s="108" t="s">
        <v>1413</v>
      </c>
      <c r="K43" s="108" t="str">
        <f>CONCATENATE( C1,C43,CHAR(10), D1,D43,CHAR(10), E1,E43,CHAR(10), F1,F43,CHAR(10), G1,G43,CHAR(10), H1,H43,CHAR(10), I1,I43,CHAR(10), J1,J43,CHAR(10), )</f>
        <v xml:space="preserve">Сечение
Длина- 15 м – Ø 0,5 мм2
Разъем: 
Напряжение:
Контакты:3
Влагозащита:
Температурный режим-10° - +70°
Примечаниеэкранированный (сигнальный)
</v>
      </c>
      <c r="L43" s="117" t="s">
        <v>1424</v>
      </c>
      <c r="M43" s="72" t="s">
        <v>1827</v>
      </c>
      <c r="N43" s="72" t="str">
        <f t="shared" si="0"/>
        <v>Провод XLR-f - XLR-m MCF</v>
      </c>
      <c r="O43" s="72" t="str">
        <f t="shared" si="1"/>
        <v>Провод XLR-f - XLR-m MCF</v>
      </c>
      <c r="P43" s="72" t="s">
        <v>1840</v>
      </c>
      <c r="Q43" s="15"/>
      <c r="R43" s="72" t="s">
        <v>1837</v>
      </c>
      <c r="S43" s="72" t="s">
        <v>1841</v>
      </c>
      <c r="T43" s="72" t="s">
        <v>1842</v>
      </c>
      <c r="U43" s="72" t="s">
        <v>1843</v>
      </c>
      <c r="V43" s="72" t="s">
        <v>1844</v>
      </c>
      <c r="W43" s="72" t="s">
        <v>1837</v>
      </c>
    </row>
    <row r="44" spans="1:23" ht="135" x14ac:dyDescent="0.25">
      <c r="A44" s="126">
        <v>43</v>
      </c>
      <c r="B44" s="111" t="s">
        <v>1426</v>
      </c>
      <c r="C44" s="111"/>
      <c r="D44" s="108" t="s">
        <v>1476</v>
      </c>
      <c r="E44" s="111"/>
      <c r="F44" s="108"/>
      <c r="G44" s="108" t="s">
        <v>1431</v>
      </c>
      <c r="H44" s="108"/>
      <c r="I44" s="108" t="s">
        <v>1401</v>
      </c>
      <c r="J44" s="108" t="s">
        <v>1413</v>
      </c>
      <c r="K44" s="108" t="str">
        <f>CONCATENATE( C1,C44,CHAR(10), D1,D44,CHAR(10), E1,E44,CHAR(10), F1,F44,CHAR(10), G1,G44,CHAR(10), H1,H44,CHAR(10), I1,I44,CHAR(10), J1,J44,CHAR(10), )</f>
        <v xml:space="preserve">Сечение
Длина- 0,5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44" s="117" t="s">
        <v>1416</v>
      </c>
      <c r="M44" s="72" t="s">
        <v>1827</v>
      </c>
      <c r="N44" s="72" t="str">
        <f t="shared" si="0"/>
        <v>Провод XLR-f - XLR-m MCF NEXT</v>
      </c>
      <c r="O44" s="72" t="str">
        <f t="shared" si="1"/>
        <v>Провод XLR-f - XLR-m MCF NEXT</v>
      </c>
      <c r="P44" s="72" t="s">
        <v>1840</v>
      </c>
      <c r="Q44" s="15"/>
      <c r="R44" s="72" t="s">
        <v>1837</v>
      </c>
      <c r="S44" s="72" t="s">
        <v>1841</v>
      </c>
      <c r="T44" s="72" t="s">
        <v>1842</v>
      </c>
      <c r="U44" s="72" t="s">
        <v>1843</v>
      </c>
      <c r="V44" s="72" t="s">
        <v>1844</v>
      </c>
      <c r="W44" s="72" t="s">
        <v>1837</v>
      </c>
    </row>
    <row r="45" spans="1:23" ht="135" x14ac:dyDescent="0.25">
      <c r="A45" s="126">
        <v>44</v>
      </c>
      <c r="B45" s="111" t="s">
        <v>1426</v>
      </c>
      <c r="C45" s="111"/>
      <c r="D45" s="108" t="s">
        <v>1477</v>
      </c>
      <c r="E45" s="111"/>
      <c r="F45" s="108"/>
      <c r="G45" s="108" t="s">
        <v>1431</v>
      </c>
      <c r="H45" s="108"/>
      <c r="I45" s="108" t="s">
        <v>1401</v>
      </c>
      <c r="J45" s="108" t="s">
        <v>1413</v>
      </c>
      <c r="K45" s="108" t="str">
        <f>CONCATENATE( C1,C45,CHAR(10), D1,D45,CHAR(10), E1,E45,CHAR(10), F1,F45,CHAR(10), G1,G45,CHAR(10), H1,H45,CHAR(10), I1,I45,CHAR(10), J1,J45,CHAR(10), )</f>
        <v xml:space="preserve">Сечение
Длина- 0,5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45" s="117" t="s">
        <v>1417</v>
      </c>
      <c r="M45" s="72" t="s">
        <v>1827</v>
      </c>
      <c r="N45" s="72" t="str">
        <f t="shared" si="0"/>
        <v>Провод XLR-f - XLR-m MCF NEXT</v>
      </c>
      <c r="O45" s="72" t="str">
        <f t="shared" si="1"/>
        <v>Провод XLR-f - XLR-m MCF NEXT</v>
      </c>
      <c r="P45" s="72" t="s">
        <v>1840</v>
      </c>
      <c r="Q45" s="15"/>
      <c r="R45" s="72" t="s">
        <v>1837</v>
      </c>
      <c r="S45" s="72" t="s">
        <v>1841</v>
      </c>
      <c r="T45" s="72" t="s">
        <v>1842</v>
      </c>
      <c r="U45" s="72" t="s">
        <v>1843</v>
      </c>
      <c r="V45" s="72" t="s">
        <v>1844</v>
      </c>
      <c r="W45" s="72" t="s">
        <v>1837</v>
      </c>
    </row>
    <row r="46" spans="1:23" ht="135" x14ac:dyDescent="0.25">
      <c r="A46" s="126">
        <v>45</v>
      </c>
      <c r="B46" s="111" t="s">
        <v>1426</v>
      </c>
      <c r="C46" s="111"/>
      <c r="D46" s="108" t="s">
        <v>1478</v>
      </c>
      <c r="E46" s="111"/>
      <c r="F46" s="108"/>
      <c r="G46" s="108" t="s">
        <v>1431</v>
      </c>
      <c r="H46" s="108"/>
      <c r="I46" s="108" t="s">
        <v>1401</v>
      </c>
      <c r="J46" s="108" t="s">
        <v>1413</v>
      </c>
      <c r="K46" s="108" t="str">
        <f>CONCATENATE( C1,C46,CHAR(10), D1,D46,CHAR(10), E1,E46,CHAR(10), F1,F46,CHAR(10), G1,G46,CHAR(10), H1,H46,CHAR(10), I1,I46,CHAR(10), J1,J46,CHAR(10), )</f>
        <v xml:space="preserve">Сечение
Длина- 1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46" s="117" t="s">
        <v>1418</v>
      </c>
      <c r="M46" s="72" t="s">
        <v>1827</v>
      </c>
      <c r="N46" s="72" t="str">
        <f t="shared" si="0"/>
        <v>Провод XLR-f - XLR-m MCF NEXT</v>
      </c>
      <c r="O46" s="72" t="str">
        <f t="shared" si="1"/>
        <v>Провод XLR-f - XLR-m MCF NEXT</v>
      </c>
      <c r="P46" s="72" t="s">
        <v>1840</v>
      </c>
      <c r="Q46" s="15"/>
      <c r="R46" s="72" t="s">
        <v>1837</v>
      </c>
      <c r="S46" s="72" t="s">
        <v>1841</v>
      </c>
      <c r="T46" s="72" t="s">
        <v>1842</v>
      </c>
      <c r="U46" s="72" t="s">
        <v>1843</v>
      </c>
      <c r="V46" s="72" t="s">
        <v>1844</v>
      </c>
      <c r="W46" s="72" t="s">
        <v>1837</v>
      </c>
    </row>
    <row r="47" spans="1:23" ht="135" x14ac:dyDescent="0.25">
      <c r="A47" s="126">
        <v>46</v>
      </c>
      <c r="B47" s="111" t="s">
        <v>1426</v>
      </c>
      <c r="C47" s="111"/>
      <c r="D47" s="108" t="s">
        <v>1479</v>
      </c>
      <c r="E47" s="111"/>
      <c r="F47" s="108"/>
      <c r="G47" s="108" t="s">
        <v>1431</v>
      </c>
      <c r="H47" s="108"/>
      <c r="I47" s="108" t="s">
        <v>1401</v>
      </c>
      <c r="J47" s="108" t="s">
        <v>1413</v>
      </c>
      <c r="K47" s="108" t="str">
        <f>CONCATENATE( C1,C47,CHAR(10), D1,D47,CHAR(10), E1,E47,CHAR(10), F1,F47,CHAR(10), G1,G47,CHAR(10), H1,H47,CHAR(10), I1,I47,CHAR(10), J1,J47,CHAR(10), )</f>
        <v xml:space="preserve">Сечение
Длина- 1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47" s="117" t="s">
        <v>1419</v>
      </c>
      <c r="M47" s="72" t="s">
        <v>1827</v>
      </c>
      <c r="N47" s="72" t="str">
        <f t="shared" si="0"/>
        <v>Провод XLR-f - XLR-m MCF NEXT</v>
      </c>
      <c r="O47" s="72" t="str">
        <f t="shared" si="1"/>
        <v>Провод XLR-f - XLR-m MCF NEXT</v>
      </c>
      <c r="P47" s="72" t="s">
        <v>1840</v>
      </c>
      <c r="Q47" s="88"/>
      <c r="R47" s="72" t="s">
        <v>1837</v>
      </c>
      <c r="S47" s="72" t="s">
        <v>1841</v>
      </c>
      <c r="T47" s="72" t="s">
        <v>1842</v>
      </c>
      <c r="U47" s="72" t="s">
        <v>1843</v>
      </c>
      <c r="V47" s="72" t="s">
        <v>1844</v>
      </c>
      <c r="W47" s="72" t="s">
        <v>1837</v>
      </c>
    </row>
    <row r="48" spans="1:23" ht="135" x14ac:dyDescent="0.25">
      <c r="A48" s="126">
        <v>47</v>
      </c>
      <c r="B48" s="111" t="s">
        <v>1426</v>
      </c>
      <c r="C48" s="111"/>
      <c r="D48" s="108" t="s">
        <v>1480</v>
      </c>
      <c r="E48" s="111"/>
      <c r="F48" s="108"/>
      <c r="G48" s="108" t="s">
        <v>1431</v>
      </c>
      <c r="H48" s="108"/>
      <c r="I48" s="108" t="s">
        <v>1401</v>
      </c>
      <c r="J48" s="108" t="s">
        <v>1413</v>
      </c>
      <c r="K48" s="108" t="str">
        <f>CONCATENATE( C1,C48,CHAR(10), D1,D48,CHAR(10), E1,E48,CHAR(10), F1,F48,CHAR(10), G1,G48,CHAR(10), H1,H48,CHAR(10), I1,I48,CHAR(10), J1,J48,CHAR(10), )</f>
        <v xml:space="preserve">Сечение
Длина- 3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48" s="117" t="s">
        <v>1420</v>
      </c>
      <c r="M48" s="72" t="s">
        <v>1827</v>
      </c>
      <c r="N48" s="72" t="str">
        <f t="shared" si="0"/>
        <v>Провод XLR-f - XLR-m MCF NEXT</v>
      </c>
      <c r="O48" s="72" t="str">
        <f t="shared" si="1"/>
        <v>Провод XLR-f - XLR-m MCF NEXT</v>
      </c>
      <c r="P48" s="72" t="s">
        <v>1840</v>
      </c>
      <c r="Q48" s="88"/>
      <c r="R48" s="72" t="s">
        <v>1837</v>
      </c>
      <c r="S48" s="72" t="s">
        <v>1841</v>
      </c>
      <c r="T48" s="72" t="s">
        <v>1842</v>
      </c>
      <c r="U48" s="72" t="s">
        <v>1843</v>
      </c>
      <c r="V48" s="72" t="s">
        <v>1844</v>
      </c>
      <c r="W48" s="72" t="s">
        <v>1837</v>
      </c>
    </row>
    <row r="49" spans="1:23" ht="135" x14ac:dyDescent="0.25">
      <c r="A49" s="126">
        <v>48</v>
      </c>
      <c r="B49" s="111" t="s">
        <v>1426</v>
      </c>
      <c r="C49" s="111"/>
      <c r="D49" s="108" t="s">
        <v>1481</v>
      </c>
      <c r="E49" s="111"/>
      <c r="F49" s="108"/>
      <c r="G49" s="108" t="s">
        <v>1431</v>
      </c>
      <c r="H49" s="108"/>
      <c r="I49" s="108" t="s">
        <v>1401</v>
      </c>
      <c r="J49" s="108" t="s">
        <v>1413</v>
      </c>
      <c r="K49" s="108" t="str">
        <f>CONCATENATE( C1,C49,CHAR(10), D1,D49,CHAR(10), E1,E49,CHAR(10), F1,F49,CHAR(10), G1,G49,CHAR(10), H1,H49,CHAR(10), I1,I49,CHAR(10), J1,J49,CHAR(10), )</f>
        <v xml:space="preserve">Сечение
Длина- 3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49" s="117" t="s">
        <v>1421</v>
      </c>
      <c r="M49" s="72" t="s">
        <v>1827</v>
      </c>
      <c r="N49" s="72" t="str">
        <f t="shared" si="0"/>
        <v>Провод XLR-f - XLR-m MCF NEXT</v>
      </c>
      <c r="O49" s="72" t="str">
        <f t="shared" si="1"/>
        <v>Провод XLR-f - XLR-m MCF NEXT</v>
      </c>
      <c r="P49" s="72" t="s">
        <v>1840</v>
      </c>
      <c r="Q49" s="88"/>
      <c r="R49" s="72" t="s">
        <v>1837</v>
      </c>
      <c r="S49" s="72" t="s">
        <v>1841</v>
      </c>
      <c r="T49" s="72" t="s">
        <v>1842</v>
      </c>
      <c r="U49" s="72" t="s">
        <v>1843</v>
      </c>
      <c r="V49" s="72" t="s">
        <v>1844</v>
      </c>
      <c r="W49" s="72" t="s">
        <v>1837</v>
      </c>
    </row>
    <row r="50" spans="1:23" ht="135" x14ac:dyDescent="0.25">
      <c r="A50" s="126">
        <v>49</v>
      </c>
      <c r="B50" s="111" t="s">
        <v>1426</v>
      </c>
      <c r="C50" s="111"/>
      <c r="D50" s="108" t="s">
        <v>1482</v>
      </c>
      <c r="E50" s="111"/>
      <c r="F50" s="108"/>
      <c r="G50" s="108" t="s">
        <v>1431</v>
      </c>
      <c r="H50" s="108"/>
      <c r="I50" s="108" t="s">
        <v>1401</v>
      </c>
      <c r="J50" s="108" t="s">
        <v>1413</v>
      </c>
      <c r="K50" s="108" t="str">
        <f>CONCATENATE( C1,C50,CHAR(10), D1,D50,CHAR(10), E1,E50,CHAR(10), F1,F50,CHAR(10), G1,G50,CHAR(10), H1,H50,CHAR(10), I1,I50,CHAR(10), J1,J50,CHAR(10), )</f>
        <v xml:space="preserve">Сечение
Длина- 5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50" s="117" t="s">
        <v>1427</v>
      </c>
      <c r="M50" s="72" t="s">
        <v>1827</v>
      </c>
      <c r="N50" s="72" t="str">
        <f t="shared" si="0"/>
        <v>Провод XLR-f - XLR-m MCF NEXT</v>
      </c>
      <c r="O50" s="72" t="str">
        <f t="shared" si="1"/>
        <v>Провод XLR-f - XLR-m MCF NEXT</v>
      </c>
      <c r="P50" s="72" t="s">
        <v>1840</v>
      </c>
      <c r="Q50" s="88"/>
      <c r="R50" s="72" t="s">
        <v>1837</v>
      </c>
      <c r="S50" s="72" t="s">
        <v>1841</v>
      </c>
      <c r="T50" s="72" t="s">
        <v>1842</v>
      </c>
      <c r="U50" s="72" t="s">
        <v>1843</v>
      </c>
      <c r="V50" s="72" t="s">
        <v>1844</v>
      </c>
      <c r="W50" s="72" t="s">
        <v>1837</v>
      </c>
    </row>
    <row r="51" spans="1:23" ht="135" x14ac:dyDescent="0.25">
      <c r="A51" s="126">
        <v>50</v>
      </c>
      <c r="B51" s="111" t="s">
        <v>1426</v>
      </c>
      <c r="C51" s="111"/>
      <c r="D51" s="108" t="s">
        <v>1483</v>
      </c>
      <c r="E51" s="111"/>
      <c r="F51" s="108"/>
      <c r="G51" s="108" t="s">
        <v>1431</v>
      </c>
      <c r="H51" s="108"/>
      <c r="I51" s="108" t="s">
        <v>1401</v>
      </c>
      <c r="J51" s="108" t="s">
        <v>1413</v>
      </c>
      <c r="K51" s="108" t="str">
        <f>CONCATENATE( C1,C51,CHAR(10), D1,D51,CHAR(10), E1,E51,CHAR(10), F1,F51,CHAR(10), G1,G51,CHAR(10), H1,H51,CHAR(10), I1,I51,CHAR(10), J1,J51,CHAR(10), )</f>
        <v xml:space="preserve">Сечение
Длина- 5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51" s="117" t="s">
        <v>1428</v>
      </c>
      <c r="M51" s="72" t="s">
        <v>1827</v>
      </c>
      <c r="N51" s="72" t="str">
        <f t="shared" si="0"/>
        <v>Провод XLR-f - XLR-m MCF NEXT</v>
      </c>
      <c r="O51" s="72" t="str">
        <f t="shared" si="1"/>
        <v>Провод XLR-f - XLR-m MCF NEXT</v>
      </c>
      <c r="P51" s="72" t="s">
        <v>1840</v>
      </c>
      <c r="Q51" s="88"/>
      <c r="R51" s="72" t="s">
        <v>1837</v>
      </c>
      <c r="S51" s="72" t="s">
        <v>1841</v>
      </c>
      <c r="T51" s="72" t="s">
        <v>1842</v>
      </c>
      <c r="U51" s="72" t="s">
        <v>1843</v>
      </c>
      <c r="V51" s="72" t="s">
        <v>1844</v>
      </c>
      <c r="W51" s="72" t="s">
        <v>1837</v>
      </c>
    </row>
    <row r="52" spans="1:23" ht="135" x14ac:dyDescent="0.25">
      <c r="A52" s="126">
        <v>51</v>
      </c>
      <c r="B52" s="111" t="s">
        <v>1426</v>
      </c>
      <c r="C52" s="111"/>
      <c r="D52" s="108" t="s">
        <v>1484</v>
      </c>
      <c r="E52" s="111"/>
      <c r="F52" s="108"/>
      <c r="G52" s="108" t="s">
        <v>1431</v>
      </c>
      <c r="H52" s="108"/>
      <c r="I52" s="108" t="s">
        <v>1401</v>
      </c>
      <c r="J52" s="108" t="s">
        <v>1413</v>
      </c>
      <c r="K52" s="108" t="str">
        <f>CONCATENATE( C1,C52,CHAR(10), D1,D52,CHAR(10), E1,E52,CHAR(10), F1,F52,CHAR(10), G1,G52,CHAR(10), H1,H52,CHAR(10), I1,I52,CHAR(10), J1,J52,CHAR(10), )</f>
        <v xml:space="preserve">Сечение
Длина- 10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52" s="117" t="s">
        <v>1423</v>
      </c>
      <c r="M52" s="72" t="s">
        <v>1827</v>
      </c>
      <c r="N52" s="72" t="str">
        <f t="shared" si="0"/>
        <v>Провод XLR-f - XLR-m MCF NEXT</v>
      </c>
      <c r="O52" s="72" t="str">
        <f t="shared" si="1"/>
        <v>Провод XLR-f - XLR-m MCF NEXT</v>
      </c>
      <c r="P52" s="72" t="s">
        <v>1840</v>
      </c>
      <c r="Q52" s="88"/>
      <c r="R52" s="72" t="s">
        <v>1837</v>
      </c>
      <c r="S52" s="72" t="s">
        <v>1841</v>
      </c>
      <c r="T52" s="72" t="s">
        <v>1842</v>
      </c>
      <c r="U52" s="72" t="s">
        <v>1843</v>
      </c>
      <c r="V52" s="72" t="s">
        <v>1844</v>
      </c>
      <c r="W52" s="72" t="s">
        <v>1837</v>
      </c>
    </row>
    <row r="53" spans="1:23" ht="135" x14ac:dyDescent="0.25">
      <c r="A53" s="126">
        <v>52</v>
      </c>
      <c r="B53" s="111" t="s">
        <v>1426</v>
      </c>
      <c r="C53" s="111"/>
      <c r="D53" s="108" t="s">
        <v>1485</v>
      </c>
      <c r="E53" s="111"/>
      <c r="F53" s="108"/>
      <c r="G53" s="108" t="s">
        <v>1431</v>
      </c>
      <c r="H53" s="108"/>
      <c r="I53" s="108" t="s">
        <v>1401</v>
      </c>
      <c r="J53" s="108" t="s">
        <v>1413</v>
      </c>
      <c r="K53" s="108" t="str">
        <f>CONCATENATE( C1,C53,CHAR(10), D1,D53,CHAR(10), E1,E53,CHAR(10), F1,F53,CHAR(10), G1,G53,CHAR(10), H1,H53,CHAR(10), I1,I53,CHAR(10), J1,J53,CHAR(10), )</f>
        <v xml:space="preserve">Сечение
Длина- 10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53" s="117" t="s">
        <v>1429</v>
      </c>
      <c r="M53" s="72" t="s">
        <v>1827</v>
      </c>
      <c r="N53" s="72" t="str">
        <f t="shared" si="0"/>
        <v>Провод XLR-f - XLR-m MCF NEXT</v>
      </c>
      <c r="O53" s="72" t="str">
        <f t="shared" si="1"/>
        <v>Провод XLR-f - XLR-m MCF NEXT</v>
      </c>
      <c r="P53" s="72" t="s">
        <v>1840</v>
      </c>
      <c r="Q53" s="88"/>
      <c r="R53" s="72" t="s">
        <v>1837</v>
      </c>
      <c r="S53" s="72" t="s">
        <v>1841</v>
      </c>
      <c r="T53" s="72" t="s">
        <v>1842</v>
      </c>
      <c r="U53" s="72" t="s">
        <v>1843</v>
      </c>
      <c r="V53" s="72" t="s">
        <v>1844</v>
      </c>
      <c r="W53" s="72" t="s">
        <v>1837</v>
      </c>
    </row>
    <row r="54" spans="1:23" ht="135" x14ac:dyDescent="0.25">
      <c r="A54" s="126">
        <v>53</v>
      </c>
      <c r="B54" s="111" t="s">
        <v>1426</v>
      </c>
      <c r="C54" s="111"/>
      <c r="D54" s="108" t="s">
        <v>1486</v>
      </c>
      <c r="E54" s="111"/>
      <c r="F54" s="108"/>
      <c r="G54" s="108" t="s">
        <v>1431</v>
      </c>
      <c r="H54" s="108"/>
      <c r="I54" s="108" t="s">
        <v>1401</v>
      </c>
      <c r="J54" s="108" t="s">
        <v>1413</v>
      </c>
      <c r="K54" s="108" t="str">
        <f>CONCATENATE( C1,C54,CHAR(10), D1,D54,CHAR(10), E1,E54,CHAR(10), F1,F54,CHAR(10), G1,G54,CHAR(10), H1,H54,CHAR(10), I1,I54,CHAR(10), J1,J54,CHAR(10), )</f>
        <v xml:space="preserve">Сечение
Длина- 15 м – Ø 0,4 мм2
Разъем: 
Напряжение:
Контакты:3 (позолоченные)
Влагозащита:
Температурный режим-10° - +70°
Примечаниеэкранированный (сигнальный)
</v>
      </c>
      <c r="L54" s="117" t="s">
        <v>1425</v>
      </c>
      <c r="M54" s="72" t="s">
        <v>1827</v>
      </c>
      <c r="N54" s="72" t="str">
        <f t="shared" si="0"/>
        <v>Провод XLR-f - XLR-m MCF NEXT</v>
      </c>
      <c r="O54" s="72" t="str">
        <f t="shared" si="1"/>
        <v>Провод XLR-f - XLR-m MCF NEXT</v>
      </c>
      <c r="P54" s="72" t="s">
        <v>1840</v>
      </c>
      <c r="Q54" s="88"/>
      <c r="R54" s="72" t="s">
        <v>1837</v>
      </c>
      <c r="S54" s="72" t="s">
        <v>1841</v>
      </c>
      <c r="T54" s="72" t="s">
        <v>1842</v>
      </c>
      <c r="U54" s="72" t="s">
        <v>1843</v>
      </c>
      <c r="V54" s="72" t="s">
        <v>1844</v>
      </c>
      <c r="W54" s="72" t="s">
        <v>1837</v>
      </c>
    </row>
    <row r="55" spans="1:23" ht="135" x14ac:dyDescent="0.25">
      <c r="A55" s="126">
        <v>54</v>
      </c>
      <c r="B55" s="111" t="s">
        <v>1426</v>
      </c>
      <c r="C55" s="111"/>
      <c r="D55" s="108" t="s">
        <v>1487</v>
      </c>
      <c r="E55" s="111"/>
      <c r="F55" s="108"/>
      <c r="G55" s="108" t="s">
        <v>1431</v>
      </c>
      <c r="H55" s="108"/>
      <c r="I55" s="108" t="s">
        <v>1401</v>
      </c>
      <c r="J55" s="108" t="s">
        <v>1413</v>
      </c>
      <c r="K55" s="108" t="str">
        <f>CONCATENATE( C1,C55,CHAR(10), D1,D55,CHAR(10), E1,E55,CHAR(10), F1,F55,CHAR(10), G1,G55,CHAR(10), H1,H55,CHAR(10), I1,I55,CHAR(10), J1,J55,CHAR(10), )</f>
        <v xml:space="preserve">Сечение
Длина- 15 м – Ø 0,5 мм2
Разъем: 
Напряжение:
Контакты:3 (позолоченные)
Влагозащита:
Температурный режим-10° - +70°
Примечаниеэкранированный (сигнальный)
</v>
      </c>
      <c r="L55" s="117" t="s">
        <v>1430</v>
      </c>
      <c r="M55" s="72" t="s">
        <v>1827</v>
      </c>
      <c r="N55" s="72" t="str">
        <f t="shared" si="0"/>
        <v>Провод XLR-f - XLR-m MCF NEXT</v>
      </c>
      <c r="O55" s="72" t="str">
        <f t="shared" si="1"/>
        <v>Провод XLR-f - XLR-m MCF NEXT</v>
      </c>
      <c r="P55" s="72" t="s">
        <v>1840</v>
      </c>
      <c r="Q55" s="88"/>
      <c r="R55" s="72" t="s">
        <v>1837</v>
      </c>
      <c r="S55" s="72" t="s">
        <v>1841</v>
      </c>
      <c r="T55" s="72" t="s">
        <v>1842</v>
      </c>
      <c r="U55" s="72" t="s">
        <v>1843</v>
      </c>
      <c r="V55" s="72" t="s">
        <v>1844</v>
      </c>
      <c r="W55" s="72" t="s">
        <v>1837</v>
      </c>
    </row>
    <row r="56" spans="1:23" ht="135" x14ac:dyDescent="0.25">
      <c r="A56" s="126">
        <v>55</v>
      </c>
      <c r="B56" s="111" t="s">
        <v>1432</v>
      </c>
      <c r="C56" s="111"/>
      <c r="D56" s="108" t="s">
        <v>1480</v>
      </c>
      <c r="E56" s="111"/>
      <c r="F56" s="108"/>
      <c r="H56" s="108"/>
      <c r="I56" s="108" t="s">
        <v>1401</v>
      </c>
      <c r="J56" s="108" t="s">
        <v>1413</v>
      </c>
      <c r="K56" s="108" t="str">
        <f>CONCATENATE( C1,C56,CHAR(10), D1,D56,CHAR(10), E1,E56,CHAR(10), F1,F56,CHAR(10), G1,G56,CHAR(10), H1,H56,CHAR(10), I1,I56,CHAR(10), J1,J56,CHAR(10), )</f>
        <v xml:space="preserve">Сечение
Длина- 3 м – Ø 0,4 мм2
Разъем: 
Напряжение:
Контакты:
Влагозащита:
Температурный режим-10° - +70°
Примечаниеэкранированный (сигнальный)
</v>
      </c>
      <c r="L56" s="117" t="s">
        <v>1417</v>
      </c>
      <c r="M56" s="72" t="s">
        <v>1827</v>
      </c>
      <c r="N56" s="72" t="str">
        <f t="shared" si="0"/>
        <v>Провод XLR-m – Джек XLR-f – Джек MCF</v>
      </c>
      <c r="O56" s="72" t="str">
        <f t="shared" si="1"/>
        <v>Провод XLR-m – Джек XLR-f – Джек MCF</v>
      </c>
      <c r="P56" s="72" t="s">
        <v>1840</v>
      </c>
      <c r="Q56" s="88"/>
      <c r="R56" s="72" t="s">
        <v>1837</v>
      </c>
      <c r="S56" s="72" t="s">
        <v>1841</v>
      </c>
      <c r="T56" s="72" t="s">
        <v>1842</v>
      </c>
      <c r="U56" s="72" t="s">
        <v>1843</v>
      </c>
      <c r="V56" s="72" t="s">
        <v>1844</v>
      </c>
      <c r="W56" s="72" t="s">
        <v>1837</v>
      </c>
    </row>
    <row r="57" spans="1:23" ht="135" x14ac:dyDescent="0.25">
      <c r="A57" s="126">
        <v>56</v>
      </c>
      <c r="B57" s="111" t="s">
        <v>1432</v>
      </c>
      <c r="C57" s="111"/>
      <c r="D57" s="108" t="s">
        <v>1481</v>
      </c>
      <c r="E57" s="111"/>
      <c r="F57" s="108"/>
      <c r="H57" s="108"/>
      <c r="I57" s="108" t="s">
        <v>1401</v>
      </c>
      <c r="J57" s="108" t="s">
        <v>1413</v>
      </c>
      <c r="K57" s="108" t="str">
        <f>CONCATENATE( C1,C57,CHAR(10), D1,D57,CHAR(10), E1,E57,CHAR(10), F1,F57,CHAR(10), G1,G57,CHAR(10), H1,H57,CHAR(10), I1,I57,CHAR(10), J1,J57,CHAR(10), )</f>
        <v xml:space="preserve">Сечение
Длина- 3 м – Ø 0,5 мм2
Разъем: 
Напряжение:
Контакты:
Влагозащита:
Температурный режим-10° - +70°
Примечаниеэкранированный (сигнальный)
</v>
      </c>
      <c r="L57" s="117" t="s">
        <v>1418</v>
      </c>
      <c r="M57" s="72" t="s">
        <v>1827</v>
      </c>
      <c r="N57" s="72" t="str">
        <f t="shared" si="0"/>
        <v>Провод XLR-m – Джек XLR-f – Джек MCF</v>
      </c>
      <c r="O57" s="72" t="str">
        <f t="shared" si="1"/>
        <v>Провод XLR-m – Джек XLR-f – Джек MCF</v>
      </c>
      <c r="P57" s="72" t="s">
        <v>1840</v>
      </c>
      <c r="Q57" s="88"/>
      <c r="R57" s="72" t="s">
        <v>1837</v>
      </c>
      <c r="S57" s="72" t="s">
        <v>1841</v>
      </c>
      <c r="T57" s="72" t="s">
        <v>1842</v>
      </c>
      <c r="U57" s="72" t="s">
        <v>1843</v>
      </c>
      <c r="V57" s="72" t="s">
        <v>1844</v>
      </c>
      <c r="W57" s="72" t="s">
        <v>1837</v>
      </c>
    </row>
    <row r="58" spans="1:23" ht="135" x14ac:dyDescent="0.25">
      <c r="A58" s="126">
        <v>57</v>
      </c>
      <c r="B58" s="111" t="s">
        <v>1432</v>
      </c>
      <c r="C58" s="111"/>
      <c r="D58" s="108" t="s">
        <v>1482</v>
      </c>
      <c r="E58" s="111"/>
      <c r="F58" s="108"/>
      <c r="H58" s="108"/>
      <c r="I58" s="108" t="s">
        <v>1401</v>
      </c>
      <c r="J58" s="108" t="s">
        <v>1413</v>
      </c>
      <c r="K58" s="108" t="str">
        <f>CONCATENATE( C1,C58,CHAR(10), D1,D58,CHAR(10), E1,E58,CHAR(10), F1,F58,CHAR(10), G1,G58,CHAR(10), H1,H58,CHAR(10), I1,I58,CHAR(10), J1,J58,CHAR(10), )</f>
        <v xml:space="preserve">Сечение
Длина- 5 м – Ø 0,4 мм2
Разъем: 
Напряжение:
Контакты:
Влагозащита:
Температурный режим-10° - +70°
Примечаниеэкранированный (сигнальный)
</v>
      </c>
      <c r="L58" s="117" t="s">
        <v>1421</v>
      </c>
      <c r="M58" s="72" t="s">
        <v>1827</v>
      </c>
      <c r="N58" s="72" t="str">
        <f t="shared" si="0"/>
        <v>Провод XLR-m – Джек XLR-f – Джек MCF</v>
      </c>
      <c r="O58" s="72" t="str">
        <f t="shared" si="1"/>
        <v>Провод XLR-m – Джек XLR-f – Джек MCF</v>
      </c>
      <c r="P58" s="72" t="s">
        <v>1840</v>
      </c>
      <c r="Q58" s="88"/>
      <c r="R58" s="72" t="s">
        <v>1837</v>
      </c>
      <c r="S58" s="72" t="s">
        <v>1841</v>
      </c>
      <c r="T58" s="72" t="s">
        <v>1842</v>
      </c>
      <c r="U58" s="72" t="s">
        <v>1843</v>
      </c>
      <c r="V58" s="72" t="s">
        <v>1844</v>
      </c>
      <c r="W58" s="72" t="s">
        <v>1837</v>
      </c>
    </row>
    <row r="59" spans="1:23" ht="135" x14ac:dyDescent="0.25">
      <c r="A59" s="126">
        <v>58</v>
      </c>
      <c r="B59" s="111" t="s">
        <v>1432</v>
      </c>
      <c r="C59" s="111"/>
      <c r="D59" s="108" t="s">
        <v>1483</v>
      </c>
      <c r="E59" s="111"/>
      <c r="F59" s="108"/>
      <c r="H59" s="108"/>
      <c r="I59" s="108" t="s">
        <v>1401</v>
      </c>
      <c r="J59" s="108" t="s">
        <v>1413</v>
      </c>
      <c r="K59" s="108" t="str">
        <f>CONCATENATE( C1,C59,CHAR(10), D1,D59,CHAR(10), E1,E59,CHAR(10), F1,F59,CHAR(10), G1,G59,CHAR(10), H1,H59,CHAR(10), I1,I59,CHAR(10), J1,J59,CHAR(10), )</f>
        <v xml:space="preserve">Сечение
Длина- 5 м – Ø 0,5 мм2
Разъем: 
Напряжение:
Контакты:
Влагозащита:
Температурный режим-10° - +70°
Примечаниеэкранированный (сигнальный)
</v>
      </c>
      <c r="L59" s="117" t="s">
        <v>1427</v>
      </c>
      <c r="M59" s="72" t="s">
        <v>1827</v>
      </c>
      <c r="N59" s="72" t="str">
        <f t="shared" si="0"/>
        <v>Провод XLR-m – Джек XLR-f – Джек MCF</v>
      </c>
      <c r="O59" s="72" t="str">
        <f t="shared" si="1"/>
        <v>Провод XLR-m – Джек XLR-f – Джек MCF</v>
      </c>
      <c r="P59" s="72" t="s">
        <v>1840</v>
      </c>
      <c r="Q59" s="88"/>
      <c r="R59" s="72" t="s">
        <v>1837</v>
      </c>
      <c r="S59" s="72" t="s">
        <v>1841</v>
      </c>
      <c r="T59" s="72" t="s">
        <v>1842</v>
      </c>
      <c r="U59" s="72" t="s">
        <v>1843</v>
      </c>
      <c r="V59" s="72" t="s">
        <v>1844</v>
      </c>
      <c r="W59" s="72" t="s">
        <v>1837</v>
      </c>
    </row>
    <row r="60" spans="1:23" ht="135" x14ac:dyDescent="0.25">
      <c r="A60" s="126">
        <v>59</v>
      </c>
      <c r="B60" s="111" t="s">
        <v>1432</v>
      </c>
      <c r="C60" s="111"/>
      <c r="D60" s="108" t="s">
        <v>1484</v>
      </c>
      <c r="E60" s="111"/>
      <c r="F60" s="108"/>
      <c r="H60" s="108"/>
      <c r="I60" s="108" t="s">
        <v>1401</v>
      </c>
      <c r="J60" s="108" t="s">
        <v>1413</v>
      </c>
      <c r="K60" s="108" t="str">
        <f>CONCATENATE( C1,C60,CHAR(10), D1,D60,CHAR(10), E1,E60,CHAR(10), F1,F60,CHAR(10), G1,G60,CHAR(10), H1,H60,CHAR(10), I1,I60,CHAR(10), J1,J60,CHAR(10), )</f>
        <v xml:space="preserve">Сечение
Длина- 10 м – Ø 0,4 мм2
Разъем: 
Напряжение:
Контакты:
Влагозащита:
Температурный режим-10° - +70°
Примечаниеэкранированный (сигнальный)
</v>
      </c>
      <c r="L60" s="117" t="s">
        <v>1422</v>
      </c>
      <c r="M60" s="72" t="s">
        <v>1827</v>
      </c>
      <c r="N60" s="72" t="str">
        <f t="shared" si="0"/>
        <v>Провод XLR-m – Джек XLR-f – Джек MCF</v>
      </c>
      <c r="O60" s="72" t="str">
        <f t="shared" si="1"/>
        <v>Провод XLR-m – Джек XLR-f – Джек MCF</v>
      </c>
      <c r="P60" s="72" t="s">
        <v>1840</v>
      </c>
      <c r="Q60" s="88"/>
      <c r="R60" s="72" t="s">
        <v>1837</v>
      </c>
      <c r="S60" s="72" t="s">
        <v>1841</v>
      </c>
      <c r="T60" s="72" t="s">
        <v>1842</v>
      </c>
      <c r="U60" s="72" t="s">
        <v>1843</v>
      </c>
      <c r="V60" s="72" t="s">
        <v>1844</v>
      </c>
      <c r="W60" s="72" t="s">
        <v>1837</v>
      </c>
    </row>
    <row r="61" spans="1:23" ht="135" x14ac:dyDescent="0.25">
      <c r="A61" s="126">
        <v>60</v>
      </c>
      <c r="B61" s="111" t="s">
        <v>1432</v>
      </c>
      <c r="C61" s="111"/>
      <c r="D61" s="108" t="s">
        <v>1485</v>
      </c>
      <c r="E61" s="111"/>
      <c r="F61" s="108"/>
      <c r="H61" s="108"/>
      <c r="I61" s="108" t="s">
        <v>1401</v>
      </c>
      <c r="J61" s="108" t="s">
        <v>1413</v>
      </c>
      <c r="K61" s="108" t="str">
        <f>CONCATENATE( C1,C61,CHAR(10), D1,D61,CHAR(10), E1,E61,CHAR(10), F1,F61,CHAR(10), G1,G61,CHAR(10), H1,H61,CHAR(10), I1,I61,CHAR(10), J1,J61,CHAR(10), )</f>
        <v xml:space="preserve">Сечение
Длина- 10 м – Ø 0,5 мм2
Разъем: 
Напряжение:
Контакты:
Влагозащита:
Температурный режим-10° - +70°
Примечаниеэкранированный (сигнальный)
</v>
      </c>
      <c r="L61" s="117" t="s">
        <v>1423</v>
      </c>
      <c r="M61" s="72" t="s">
        <v>1827</v>
      </c>
      <c r="N61" s="72" t="str">
        <f t="shared" si="0"/>
        <v>Провод XLR-m – Джек XLR-f – Джек MCF</v>
      </c>
      <c r="O61" s="72" t="str">
        <f t="shared" si="1"/>
        <v>Провод XLR-m – Джек XLR-f – Джек MCF</v>
      </c>
      <c r="P61" s="72" t="s">
        <v>1840</v>
      </c>
      <c r="Q61" s="88"/>
      <c r="R61" s="72" t="s">
        <v>1837</v>
      </c>
      <c r="S61" s="72" t="s">
        <v>1841</v>
      </c>
      <c r="T61" s="72" t="s">
        <v>1842</v>
      </c>
      <c r="U61" s="72" t="s">
        <v>1843</v>
      </c>
      <c r="V61" s="72" t="s">
        <v>1844</v>
      </c>
      <c r="W61" s="72" t="s">
        <v>1837</v>
      </c>
    </row>
    <row r="62" spans="1:23" ht="135" x14ac:dyDescent="0.25">
      <c r="A62" s="126">
        <v>61</v>
      </c>
      <c r="B62" s="111" t="s">
        <v>1467</v>
      </c>
      <c r="C62" s="111"/>
      <c r="D62" s="108" t="s">
        <v>1434</v>
      </c>
      <c r="E62" s="111"/>
      <c r="F62" s="108"/>
      <c r="H62" s="108"/>
      <c r="I62" s="108" t="s">
        <v>1401</v>
      </c>
      <c r="J62" s="108" t="s">
        <v>1433</v>
      </c>
      <c r="K62" s="108" t="str">
        <f>CONCATENATE( C1,C62,CHAR(10), D1,D62,CHAR(10), E1,E62,CHAR(10), F1,F62,CHAR(10), G1,G62,CHAR(10), H1,H62,CHAR(10), I1,I62,CHAR(10), J1,J62,CHAR(10), )</f>
        <v xml:space="preserve">Сечение
Длина- 1,5 м
Разъем: 
Напряжение:
Контакты:
Влагозащита:
Температурный режим-10° - +70°
Примечаниеинсертный
</v>
      </c>
      <c r="L62" s="117" t="s">
        <v>1435</v>
      </c>
      <c r="M62" s="72" t="s">
        <v>1827</v>
      </c>
      <c r="N62" s="72" t="str">
        <f t="shared" si="0"/>
        <v>Провод Мини джек стерео – 2 Джек моно MCF</v>
      </c>
      <c r="O62" s="72" t="str">
        <f t="shared" si="1"/>
        <v>Провод Мини джек стерео – 2 Джек моно MCF</v>
      </c>
      <c r="P62" s="72" t="s">
        <v>1840</v>
      </c>
      <c r="Q62" s="88"/>
      <c r="R62" s="72" t="s">
        <v>1837</v>
      </c>
      <c r="S62" s="72" t="s">
        <v>1841</v>
      </c>
      <c r="T62" s="72" t="s">
        <v>1842</v>
      </c>
      <c r="U62" s="72" t="s">
        <v>1843</v>
      </c>
      <c r="V62" s="72" t="s">
        <v>1844</v>
      </c>
      <c r="W62" s="72" t="s">
        <v>1837</v>
      </c>
    </row>
    <row r="63" spans="1:23" ht="135" x14ac:dyDescent="0.25">
      <c r="A63" s="126">
        <v>62</v>
      </c>
      <c r="B63" s="111" t="s">
        <v>1467</v>
      </c>
      <c r="C63" s="111"/>
      <c r="D63" s="108" t="s">
        <v>1436</v>
      </c>
      <c r="E63" s="111"/>
      <c r="F63" s="108"/>
      <c r="H63" s="108"/>
      <c r="I63" s="108" t="s">
        <v>1401</v>
      </c>
      <c r="J63" s="108" t="s">
        <v>1433</v>
      </c>
      <c r="K63" s="108" t="str">
        <f>CONCATENATE( C1,C63,CHAR(10), D1,D63,CHAR(10), E1,E63,CHAR(10), F1,F63,CHAR(10), G1,G63,CHAR(10), H1,H63,CHAR(10), I1,I63,CHAR(10), J1,J63,CHAR(10), )</f>
        <v xml:space="preserve">Сечение
Длина- 3 м
Разъем: 
Напряжение:
Контакты:
Влагозащита:
Температурный режим-10° - +70°
Примечаниеинсертный
</v>
      </c>
      <c r="L63" s="117" t="s">
        <v>1437</v>
      </c>
      <c r="M63" s="72" t="s">
        <v>1827</v>
      </c>
      <c r="N63" s="72" t="str">
        <f t="shared" si="0"/>
        <v>Провод Мини джек стерео – 2 Джек моно MCF</v>
      </c>
      <c r="O63" s="72" t="str">
        <f t="shared" si="1"/>
        <v>Провод Мини джек стерео – 2 Джек моно MCF</v>
      </c>
      <c r="P63" s="72" t="s">
        <v>1840</v>
      </c>
      <c r="Q63" s="88"/>
      <c r="R63" s="72" t="s">
        <v>1837</v>
      </c>
      <c r="S63" s="72" t="s">
        <v>1841</v>
      </c>
      <c r="T63" s="72" t="s">
        <v>1842</v>
      </c>
      <c r="U63" s="72" t="s">
        <v>1843</v>
      </c>
      <c r="V63" s="72" t="s">
        <v>1844</v>
      </c>
      <c r="W63" s="72" t="s">
        <v>1837</v>
      </c>
    </row>
    <row r="64" spans="1:23" ht="135" x14ac:dyDescent="0.25">
      <c r="A64" s="126">
        <v>63</v>
      </c>
      <c r="B64" s="111" t="s">
        <v>1438</v>
      </c>
      <c r="C64" s="111"/>
      <c r="D64" s="108" t="s">
        <v>1434</v>
      </c>
      <c r="E64" s="108" t="s">
        <v>1439</v>
      </c>
      <c r="F64" s="108"/>
      <c r="H64" s="108"/>
      <c r="I64" s="108" t="s">
        <v>1401</v>
      </c>
      <c r="J64" s="108"/>
      <c r="K64" s="108" t="str">
        <f>CONCATENATE( C1,C64,CHAR(10), D1,D64,CHAR(10), E1,E64,CHAR(10), F1,F64,CHAR(10), G1,G64,CHAR(10), H1,H64,CHAR(10), I1,I64,CHAR(10), J1,J64,CHAR(10), )</f>
        <v xml:space="preserve">Сечение
Длина- 1,5 м
Разъем: джек стерео – 2 RCA MCF
Напряжение:
Контакты:
Влагозащита:
Температурный режим-10° - +70°
Примечание
</v>
      </c>
      <c r="L64" s="117" t="s">
        <v>1440</v>
      </c>
      <c r="M64" s="72" t="s">
        <v>1827</v>
      </c>
      <c r="N64" s="72" t="str">
        <f t="shared" si="0"/>
        <v>Провод Мини джек стерео – 2 RCA MCF</v>
      </c>
      <c r="O64" s="72" t="str">
        <f t="shared" si="1"/>
        <v>Провод Мини джек стерео – 2 RCA MCF</v>
      </c>
      <c r="P64" s="72" t="s">
        <v>1840</v>
      </c>
      <c r="Q64" s="88"/>
      <c r="R64" s="72" t="s">
        <v>1837</v>
      </c>
      <c r="S64" s="72" t="s">
        <v>1841</v>
      </c>
      <c r="T64" s="72" t="s">
        <v>1842</v>
      </c>
      <c r="U64" s="72" t="s">
        <v>1843</v>
      </c>
      <c r="V64" s="72" t="s">
        <v>1844</v>
      </c>
      <c r="W64" s="72" t="s">
        <v>1837</v>
      </c>
    </row>
    <row r="65" spans="1:23" ht="135" x14ac:dyDescent="0.25">
      <c r="A65" s="126">
        <v>64</v>
      </c>
      <c r="B65" s="111" t="s">
        <v>1441</v>
      </c>
      <c r="C65" s="111"/>
      <c r="D65" s="108" t="s">
        <v>1488</v>
      </c>
      <c r="E65" s="111"/>
      <c r="F65" s="108" t="s">
        <v>1375</v>
      </c>
      <c r="G65" s="108">
        <v>4</v>
      </c>
      <c r="H65" s="108"/>
      <c r="I65" s="108" t="s">
        <v>1401</v>
      </c>
      <c r="J65" s="108" t="s">
        <v>1442</v>
      </c>
      <c r="K65" s="108" t="str">
        <f>CONCATENATE( C1,C65,CHAR(10), D1,D65,CHAR(10), E1,E65,CHAR(10), F1,F65,CHAR(10), G1,G65,CHAR(10), H1,H65,CHAR(10), I1,I65,CHAR(10), J1,J65,CHAR(10), )</f>
        <v xml:space="preserve">Сечение
Длина- 1 м – Ø 1,0 мм2
Разъем: 
Напряжение:40А
Контакты:4
Влагозащита:
Температурный режим-10° - +70°
Примечаниеакустический универсальный
</v>
      </c>
      <c r="L65" s="117" t="s">
        <v>1437</v>
      </c>
      <c r="M65" s="72" t="s">
        <v>1827</v>
      </c>
      <c r="N65" s="72" t="str">
        <f t="shared" si="0"/>
        <v>Провод спикон - спикон MCF (стандарт)</v>
      </c>
      <c r="O65" s="72" t="str">
        <f t="shared" si="1"/>
        <v>Провод спикон - спикон MCF (стандарт)</v>
      </c>
      <c r="P65" s="72" t="s">
        <v>1840</v>
      </c>
      <c r="Q65" s="88"/>
      <c r="R65" s="72" t="s">
        <v>1837</v>
      </c>
      <c r="S65" s="72" t="s">
        <v>1841</v>
      </c>
      <c r="T65" s="72" t="s">
        <v>1842</v>
      </c>
      <c r="U65" s="72" t="s">
        <v>1843</v>
      </c>
      <c r="V65" s="72" t="s">
        <v>1844</v>
      </c>
      <c r="W65" s="72" t="s">
        <v>1837</v>
      </c>
    </row>
    <row r="66" spans="1:23" ht="135" x14ac:dyDescent="0.25">
      <c r="A66" s="126">
        <v>65</v>
      </c>
      <c r="B66" s="111" t="s">
        <v>1441</v>
      </c>
      <c r="C66" s="111"/>
      <c r="D66" s="108" t="s">
        <v>1489</v>
      </c>
      <c r="E66" s="111"/>
      <c r="F66" s="108" t="s">
        <v>1375</v>
      </c>
      <c r="G66" s="108">
        <v>4</v>
      </c>
      <c r="H66" s="108"/>
      <c r="I66" s="108" t="s">
        <v>1401</v>
      </c>
      <c r="J66" s="108" t="s">
        <v>1442</v>
      </c>
      <c r="K66" s="108" t="str">
        <f>CONCATENATE( C1,C66,CHAR(10), D1,D66,CHAR(10), E1,E66,CHAR(10), F1,F66,CHAR(10), G1,G66,CHAR(10), H1,H66,CHAR(10), I1,I66,CHAR(10), J1,J66,CHAR(10), )</f>
        <v xml:space="preserve">Сечение
Длина- 1 м – Ø 1,5 мм2
Разъем: 
Напряжение:40А
Контакты:4
Влагозащита:
Температурный режим-10° - +70°
Примечаниеакустический универсальный
</v>
      </c>
      <c r="L66" s="117" t="s">
        <v>1443</v>
      </c>
      <c r="M66" s="72" t="s">
        <v>1827</v>
      </c>
      <c r="N66" s="72" t="str">
        <f t="shared" si="0"/>
        <v>Провод спикон - спикон MCF (стандарт)</v>
      </c>
      <c r="O66" s="72" t="str">
        <f t="shared" si="1"/>
        <v>Провод спикон - спикон MCF (стандарт)</v>
      </c>
      <c r="P66" s="72" t="s">
        <v>1840</v>
      </c>
      <c r="Q66" s="88"/>
      <c r="R66" s="72" t="s">
        <v>1837</v>
      </c>
      <c r="S66" s="72" t="s">
        <v>1841</v>
      </c>
      <c r="T66" s="72" t="s">
        <v>1842</v>
      </c>
      <c r="U66" s="72" t="s">
        <v>1843</v>
      </c>
      <c r="V66" s="72" t="s">
        <v>1844</v>
      </c>
      <c r="W66" s="72" t="s">
        <v>1837</v>
      </c>
    </row>
    <row r="67" spans="1:23" ht="135" x14ac:dyDescent="0.25">
      <c r="A67" s="126">
        <v>66</v>
      </c>
      <c r="B67" s="111" t="s">
        <v>1441</v>
      </c>
      <c r="C67" s="111"/>
      <c r="D67" s="108" t="s">
        <v>1490</v>
      </c>
      <c r="E67" s="111"/>
      <c r="F67" s="108" t="s">
        <v>1375</v>
      </c>
      <c r="G67" s="108">
        <v>4</v>
      </c>
      <c r="H67" s="108"/>
      <c r="I67" s="108" t="s">
        <v>1401</v>
      </c>
      <c r="J67" s="108" t="s">
        <v>1442</v>
      </c>
      <c r="K67" s="108" t="str">
        <f>CONCATENATE( C1,C67,CHAR(10), D1,D67,CHAR(10), E1,E67,CHAR(10), F1,F67,CHAR(10), G1,G67,CHAR(10), H1,H67,CHAR(10), I1,I67,CHAR(10), J1,J67,CHAR(10), )</f>
        <v xml:space="preserve">Сечение
Длина- 1 м – Ø 2,0 мм2
Разъем: 
Напряжение:40А
Контакты:4
Влагозащита:
Температурный режим-10° - +70°
Примечаниеакустический универсальный
</v>
      </c>
      <c r="L67" s="117" t="s">
        <v>1414</v>
      </c>
      <c r="M67" s="72" t="s">
        <v>1827</v>
      </c>
      <c r="N67" s="72" t="str">
        <f t="shared" ref="N67:N96" si="2">B67</f>
        <v>Провод спикон - спикон MCF (стандарт)</v>
      </c>
      <c r="P67" s="72" t="s">
        <v>1840</v>
      </c>
      <c r="R67" s="72" t="s">
        <v>1837</v>
      </c>
      <c r="S67" s="72" t="s">
        <v>1841</v>
      </c>
      <c r="T67" s="72" t="s">
        <v>1842</v>
      </c>
      <c r="U67" s="72" t="s">
        <v>1843</v>
      </c>
      <c r="V67" s="72" t="s">
        <v>1844</v>
      </c>
      <c r="W67" s="72" t="s">
        <v>1837</v>
      </c>
    </row>
    <row r="68" spans="1:23" ht="135" x14ac:dyDescent="0.25">
      <c r="A68" s="126">
        <v>67</v>
      </c>
      <c r="B68" s="111" t="s">
        <v>1441</v>
      </c>
      <c r="C68" s="111"/>
      <c r="D68" s="108" t="s">
        <v>1491</v>
      </c>
      <c r="E68" s="111"/>
      <c r="F68" s="108" t="s">
        <v>1375</v>
      </c>
      <c r="G68" s="108">
        <v>4</v>
      </c>
      <c r="H68" s="108"/>
      <c r="I68" s="108" t="s">
        <v>1401</v>
      </c>
      <c r="J68" s="108" t="s">
        <v>1442</v>
      </c>
      <c r="K68" s="108" t="str">
        <f>CONCATENATE( C1,C68,CHAR(10), D1,D68,CHAR(10), E1,E68,CHAR(10), F1,F68,CHAR(10), G1,G68,CHAR(10), H1,H68,CHAR(10), I1,I68,CHAR(10), J1,J68,CHAR(10), )</f>
        <v xml:space="preserve">Сечение
Длина- 5 м – Ø 1,0 мм2
Разъем: 
Напряжение:40А
Контакты:4
Влагозащита:
Температурный режим-10° - +70°
Примечаниеакустический универсальный
</v>
      </c>
      <c r="L68" s="117" t="s">
        <v>1416</v>
      </c>
      <c r="M68" s="72" t="s">
        <v>1827</v>
      </c>
      <c r="N68" s="72" t="str">
        <f t="shared" si="2"/>
        <v>Провод спикон - спикон MCF (стандарт)</v>
      </c>
      <c r="P68" s="72" t="s">
        <v>1840</v>
      </c>
      <c r="R68" s="72" t="s">
        <v>1837</v>
      </c>
      <c r="S68" s="72" t="s">
        <v>1841</v>
      </c>
      <c r="T68" s="72" t="s">
        <v>1842</v>
      </c>
      <c r="U68" s="72" t="s">
        <v>1843</v>
      </c>
      <c r="V68" s="72" t="s">
        <v>1844</v>
      </c>
      <c r="W68" s="72" t="s">
        <v>1837</v>
      </c>
    </row>
    <row r="69" spans="1:23" ht="135" x14ac:dyDescent="0.25">
      <c r="A69" s="126">
        <v>68</v>
      </c>
      <c r="B69" s="111" t="s">
        <v>1441</v>
      </c>
      <c r="C69" s="111"/>
      <c r="D69" s="108" t="s">
        <v>1492</v>
      </c>
      <c r="E69" s="111"/>
      <c r="F69" s="108" t="s">
        <v>1375</v>
      </c>
      <c r="G69" s="108">
        <v>4</v>
      </c>
      <c r="H69" s="108"/>
      <c r="I69" s="108" t="s">
        <v>1401</v>
      </c>
      <c r="J69" s="108" t="s">
        <v>1442</v>
      </c>
      <c r="K69" s="108" t="str">
        <f>CONCATENATE( C1,C69,CHAR(10), D1,D69,CHAR(10), E1,E69,CHAR(10), F1,F69,CHAR(10), G1,G69,CHAR(10), H1,H69,CHAR(10), I1,I69,CHAR(10), J1,J69,CHAR(10), )</f>
        <v xml:space="preserve">Сечение
Длина- 5 м – Ø 1,5 мм2
Разъем: 
Напряжение:40А
Контакты:4
Влагозащита:
Температурный режим-10° - +70°
Примечаниеакустический универсальный
</v>
      </c>
      <c r="L69" s="117" t="s">
        <v>1418</v>
      </c>
      <c r="M69" s="72" t="s">
        <v>1827</v>
      </c>
      <c r="N69" s="72" t="str">
        <f t="shared" si="2"/>
        <v>Провод спикон - спикон MCF (стандарт)</v>
      </c>
      <c r="P69" s="72" t="s">
        <v>1840</v>
      </c>
      <c r="R69" s="72" t="s">
        <v>1837</v>
      </c>
      <c r="S69" s="72" t="s">
        <v>1841</v>
      </c>
      <c r="T69" s="72" t="s">
        <v>1842</v>
      </c>
      <c r="U69" s="72" t="s">
        <v>1843</v>
      </c>
      <c r="V69" s="72" t="s">
        <v>1844</v>
      </c>
      <c r="W69" s="72" t="s">
        <v>1837</v>
      </c>
    </row>
    <row r="70" spans="1:23" ht="135" x14ac:dyDescent="0.25">
      <c r="A70" s="126">
        <v>69</v>
      </c>
      <c r="B70" s="111" t="s">
        <v>1441</v>
      </c>
      <c r="C70" s="111"/>
      <c r="D70" s="108" t="s">
        <v>1493</v>
      </c>
      <c r="E70" s="111"/>
      <c r="F70" s="108" t="s">
        <v>1375</v>
      </c>
      <c r="G70" s="108">
        <v>4</v>
      </c>
      <c r="H70" s="108"/>
      <c r="I70" s="108" t="s">
        <v>1401</v>
      </c>
      <c r="J70" s="108" t="s">
        <v>1442</v>
      </c>
      <c r="K70" s="108" t="str">
        <f>CONCATENATE( C1,C70,CHAR(10), D1,D70,CHAR(10), E1,E70,CHAR(10), F1,F70,CHAR(10), G1,G70,CHAR(10), H1,H70,CHAR(10), I1,I70,CHAR(10), J1,J70,CHAR(10), )</f>
        <v xml:space="preserve">Сечение
Длина- 5 м – Ø 2,0 мм2
Разъем: 
Напряжение:40А
Контакты:4
Влагозащита:
Температурный режим-10° - +70°
Примечаниеакустический универсальный
</v>
      </c>
      <c r="L70" s="117" t="s">
        <v>1420</v>
      </c>
      <c r="M70" s="72" t="s">
        <v>1827</v>
      </c>
      <c r="N70" s="72" t="str">
        <f t="shared" si="2"/>
        <v>Провод спикон - спикон MCF (стандарт)</v>
      </c>
      <c r="P70" s="72" t="s">
        <v>1840</v>
      </c>
      <c r="R70" s="72" t="s">
        <v>1837</v>
      </c>
      <c r="S70" s="72" t="s">
        <v>1841</v>
      </c>
      <c r="T70" s="72" t="s">
        <v>1842</v>
      </c>
      <c r="U70" s="72" t="s">
        <v>1843</v>
      </c>
      <c r="V70" s="72" t="s">
        <v>1844</v>
      </c>
      <c r="W70" s="72" t="s">
        <v>1837</v>
      </c>
    </row>
    <row r="71" spans="1:23" ht="135" x14ac:dyDescent="0.25">
      <c r="A71" s="126">
        <v>70</v>
      </c>
      <c r="B71" s="111" t="s">
        <v>1441</v>
      </c>
      <c r="C71" s="111"/>
      <c r="D71" s="108" t="s">
        <v>1494</v>
      </c>
      <c r="E71" s="111"/>
      <c r="F71" s="108" t="s">
        <v>1375</v>
      </c>
      <c r="G71" s="108">
        <v>4</v>
      </c>
      <c r="H71" s="108"/>
      <c r="I71" s="108" t="s">
        <v>1401</v>
      </c>
      <c r="J71" s="108" t="s">
        <v>1442</v>
      </c>
      <c r="K71" s="108" t="str">
        <f>CONCATENATE( C1,C71,CHAR(10), D1,D71,CHAR(10), E1,E71,CHAR(10), F1,F71,CHAR(10), G1,G71,CHAR(10), H1,H71,CHAR(10), I1,I71,CHAR(10), J1,J71,CHAR(10), )</f>
        <v xml:space="preserve">Сечение
Длина- 10 м – Ø 1,0 мм2
Разъем: 
Напряжение:40А
Контакты:4
Влагозащита:
Температурный режим-10° - +70°
Примечаниеакустический универсальный
</v>
      </c>
      <c r="L71" s="117" t="s">
        <v>1422</v>
      </c>
      <c r="M71" s="72" t="s">
        <v>1827</v>
      </c>
      <c r="N71" s="72" t="str">
        <f t="shared" si="2"/>
        <v>Провод спикон - спикон MCF (стандарт)</v>
      </c>
      <c r="P71" s="72" t="s">
        <v>1840</v>
      </c>
      <c r="R71" s="72" t="s">
        <v>1837</v>
      </c>
      <c r="S71" s="72" t="s">
        <v>1841</v>
      </c>
      <c r="T71" s="72" t="s">
        <v>1842</v>
      </c>
      <c r="U71" s="72" t="s">
        <v>1843</v>
      </c>
      <c r="V71" s="72" t="s">
        <v>1844</v>
      </c>
      <c r="W71" s="72" t="s">
        <v>1837</v>
      </c>
    </row>
    <row r="72" spans="1:23" ht="135" x14ac:dyDescent="0.25">
      <c r="A72" s="126">
        <v>71</v>
      </c>
      <c r="B72" s="111" t="s">
        <v>1441</v>
      </c>
      <c r="C72" s="111"/>
      <c r="D72" s="108" t="s">
        <v>1495</v>
      </c>
      <c r="E72" s="111"/>
      <c r="F72" s="108" t="s">
        <v>1375</v>
      </c>
      <c r="G72" s="108">
        <v>4</v>
      </c>
      <c r="H72" s="108"/>
      <c r="I72" s="108" t="s">
        <v>1401</v>
      </c>
      <c r="J72" s="108" t="s">
        <v>1442</v>
      </c>
      <c r="K72" s="108" t="str">
        <f>CONCATENATE( C1,C72,CHAR(10), D1,D72,CHAR(10), E1,E72,CHAR(10), F1,F72,CHAR(10), G1,G72,CHAR(10), H1,H72,CHAR(10), I1,I72,CHAR(10), J1,J72,CHAR(10), )</f>
        <v xml:space="preserve">Сечение
Длина- 10 м – Ø 1,5 мм2
Разъем: 
Напряжение:40А
Контакты:4
Влагозащита:
Температурный режим-10° - +70°
Примечаниеакустический универсальный
</v>
      </c>
      <c r="L72" s="117" t="s">
        <v>1444</v>
      </c>
      <c r="M72" s="72" t="s">
        <v>1827</v>
      </c>
      <c r="N72" s="72" t="str">
        <f t="shared" si="2"/>
        <v>Провод спикон - спикон MCF (стандарт)</v>
      </c>
      <c r="P72" s="72" t="s">
        <v>1840</v>
      </c>
      <c r="R72" s="72" t="s">
        <v>1837</v>
      </c>
      <c r="S72" s="72" t="s">
        <v>1841</v>
      </c>
      <c r="T72" s="72" t="s">
        <v>1842</v>
      </c>
      <c r="U72" s="72" t="s">
        <v>1843</v>
      </c>
      <c r="V72" s="72" t="s">
        <v>1844</v>
      </c>
      <c r="W72" s="72" t="s">
        <v>1837</v>
      </c>
    </row>
    <row r="73" spans="1:23" ht="135" x14ac:dyDescent="0.25">
      <c r="A73" s="126">
        <v>72</v>
      </c>
      <c r="B73" s="111" t="s">
        <v>1441</v>
      </c>
      <c r="C73" s="111"/>
      <c r="D73" s="108" t="s">
        <v>1496</v>
      </c>
      <c r="E73" s="111"/>
      <c r="F73" s="108" t="s">
        <v>1375</v>
      </c>
      <c r="G73" s="108">
        <v>4</v>
      </c>
      <c r="H73" s="108"/>
      <c r="I73" s="108" t="s">
        <v>1401</v>
      </c>
      <c r="J73" s="108" t="s">
        <v>1442</v>
      </c>
      <c r="K73" s="108" t="str">
        <f>CONCATENATE( C1,C73,CHAR(10), D1,D73,CHAR(10), E1,E73,CHAR(10), F1,F73,CHAR(10), G1,G73,CHAR(10), H1,H73,CHAR(10), I1,I73,CHAR(10), J1,J73,CHAR(10), )</f>
        <v xml:space="preserve">Сечение
Длина- 10 м – Ø 2,0 мм2
Разъем: 
Напряжение:40А
Контакты:4
Влагозащита:
Температурный режим-10° - +70°
Примечаниеакустический универсальный
</v>
      </c>
      <c r="L73" s="117" t="s">
        <v>1423</v>
      </c>
      <c r="M73" s="72" t="s">
        <v>1827</v>
      </c>
      <c r="N73" s="72" t="str">
        <f t="shared" si="2"/>
        <v>Провод спикон - спикон MCF (стандарт)</v>
      </c>
      <c r="P73" s="72" t="s">
        <v>1840</v>
      </c>
      <c r="R73" s="72" t="s">
        <v>1837</v>
      </c>
      <c r="S73" s="72" t="s">
        <v>1841</v>
      </c>
      <c r="T73" s="72" t="s">
        <v>1842</v>
      </c>
      <c r="U73" s="72" t="s">
        <v>1843</v>
      </c>
      <c r="V73" s="72" t="s">
        <v>1844</v>
      </c>
      <c r="W73" s="72" t="s">
        <v>1837</v>
      </c>
    </row>
    <row r="74" spans="1:23" ht="135" x14ac:dyDescent="0.25">
      <c r="A74" s="126">
        <v>73</v>
      </c>
      <c r="B74" s="111" t="s">
        <v>1441</v>
      </c>
      <c r="C74" s="111"/>
      <c r="D74" s="108" t="s">
        <v>1497</v>
      </c>
      <c r="E74" s="111"/>
      <c r="F74" s="108" t="s">
        <v>1375</v>
      </c>
      <c r="G74" s="108">
        <v>4</v>
      </c>
      <c r="H74" s="108"/>
      <c r="I74" s="108" t="s">
        <v>1401</v>
      </c>
      <c r="J74" s="108" t="s">
        <v>1442</v>
      </c>
      <c r="K74" s="108" t="str">
        <f>CONCATENATE( C1,C74,CHAR(10), D1,D74,CHAR(10), E1,E74,CHAR(10), F1,F74,CHAR(10), G1,G74,CHAR(10), H1,H74,CHAR(10), I1,I74,CHAR(10), J1,J74,CHAR(10), )</f>
        <v xml:space="preserve">Сечение
Длина- 15 м – Ø 1,0 мм2
Разъем: 
Напряжение:40А
Контакты:4
Влагозащита:
Температурный режим-10° - +70°
Примечаниеакустический универсальный
</v>
      </c>
      <c r="L74" s="117" t="s">
        <v>1423</v>
      </c>
      <c r="M74" s="72" t="s">
        <v>1827</v>
      </c>
      <c r="N74" s="72" t="str">
        <f t="shared" si="2"/>
        <v>Провод спикон - спикон MCF (стандарт)</v>
      </c>
      <c r="P74" s="72" t="s">
        <v>1840</v>
      </c>
      <c r="R74" s="72" t="s">
        <v>1837</v>
      </c>
      <c r="S74" s="72" t="s">
        <v>1841</v>
      </c>
      <c r="T74" s="72" t="s">
        <v>1842</v>
      </c>
      <c r="U74" s="72" t="s">
        <v>1843</v>
      </c>
      <c r="V74" s="72" t="s">
        <v>1844</v>
      </c>
      <c r="W74" s="72" t="s">
        <v>1837</v>
      </c>
    </row>
    <row r="75" spans="1:23" ht="135" x14ac:dyDescent="0.25">
      <c r="A75" s="126">
        <v>74</v>
      </c>
      <c r="B75" s="111" t="s">
        <v>1441</v>
      </c>
      <c r="C75" s="111"/>
      <c r="D75" s="108" t="s">
        <v>1498</v>
      </c>
      <c r="E75" s="111"/>
      <c r="F75" s="108" t="s">
        <v>1375</v>
      </c>
      <c r="G75" s="108">
        <v>4</v>
      </c>
      <c r="H75" s="108"/>
      <c r="I75" s="108" t="s">
        <v>1401</v>
      </c>
      <c r="J75" s="108" t="s">
        <v>1442</v>
      </c>
      <c r="K75" s="108" t="str">
        <f>CONCATENATE( C1,C75,CHAR(10), D1,D75,CHAR(10), E1,E75,CHAR(10), F1,F75,CHAR(10), G1,G75,CHAR(10), H1,H75,CHAR(10), I1,I75,CHAR(10), J1,J75,CHAR(10), )</f>
        <v xml:space="preserve">Сечение
Длина- 15 м – Ø 1,5 мм2
Разъем: 
Напряжение:40А
Контакты:4
Влагозащита:
Температурный режим-10° - +70°
Примечаниеакустический универсальный
</v>
      </c>
      <c r="L75" s="117" t="s">
        <v>1445</v>
      </c>
      <c r="M75" s="72" t="s">
        <v>1827</v>
      </c>
      <c r="N75" s="72" t="str">
        <f t="shared" si="2"/>
        <v>Провод спикон - спикон MCF (стандарт)</v>
      </c>
      <c r="P75" s="72" t="s">
        <v>1840</v>
      </c>
      <c r="R75" s="72" t="s">
        <v>1837</v>
      </c>
      <c r="S75" s="72" t="s">
        <v>1841</v>
      </c>
      <c r="T75" s="72" t="s">
        <v>1842</v>
      </c>
      <c r="U75" s="72" t="s">
        <v>1843</v>
      </c>
      <c r="V75" s="72" t="s">
        <v>1844</v>
      </c>
      <c r="W75" s="72" t="s">
        <v>1837</v>
      </c>
    </row>
    <row r="76" spans="1:23" ht="135" x14ac:dyDescent="0.25">
      <c r="A76" s="126">
        <v>75</v>
      </c>
      <c r="B76" s="111" t="s">
        <v>1441</v>
      </c>
      <c r="C76" s="111"/>
      <c r="D76" s="108" t="s">
        <v>1499</v>
      </c>
      <c r="E76" s="111"/>
      <c r="F76" s="108" t="s">
        <v>1375</v>
      </c>
      <c r="G76" s="108">
        <v>4</v>
      </c>
      <c r="H76" s="108"/>
      <c r="I76" s="108" t="s">
        <v>1401</v>
      </c>
      <c r="J76" s="108" t="s">
        <v>1442</v>
      </c>
      <c r="K76" s="108" t="str">
        <f>CONCATENATE( C1,C76,CHAR(10), D1,D76,CHAR(10), E1,E76,CHAR(10), F1,F76,CHAR(10), G1,G76,CHAR(10), H1,H76,CHAR(10), I1,I76,CHAR(10), J1,J76,CHAR(10), )</f>
        <v xml:space="preserve">Сечение
Длина- 15 м – Ø 2,0 мм2
Разъем: 
Напряжение:40А
Контакты:4
Влагозащита:
Температурный режим-10° - +70°
Примечаниеакустический универсальный
</v>
      </c>
      <c r="L76" s="117" t="s">
        <v>1446</v>
      </c>
      <c r="M76" s="72" t="s">
        <v>1827</v>
      </c>
      <c r="N76" s="72" t="str">
        <f t="shared" si="2"/>
        <v>Провод спикон - спикон MCF (стандарт)</v>
      </c>
      <c r="P76" s="72" t="s">
        <v>1840</v>
      </c>
      <c r="R76" s="72" t="s">
        <v>1837</v>
      </c>
      <c r="S76" s="72" t="s">
        <v>1841</v>
      </c>
      <c r="T76" s="72" t="s">
        <v>1842</v>
      </c>
      <c r="U76" s="72" t="s">
        <v>1843</v>
      </c>
      <c r="V76" s="72" t="s">
        <v>1844</v>
      </c>
      <c r="W76" s="72" t="s">
        <v>1837</v>
      </c>
    </row>
    <row r="77" spans="1:23" ht="135" x14ac:dyDescent="0.25">
      <c r="A77" s="126">
        <v>76</v>
      </c>
      <c r="B77" s="111" t="s">
        <v>1448</v>
      </c>
      <c r="C77" s="111"/>
      <c r="D77" s="108" t="s">
        <v>1488</v>
      </c>
      <c r="E77" s="111"/>
      <c r="F77" s="108" t="s">
        <v>1375</v>
      </c>
      <c r="G77" s="108" t="s">
        <v>1379</v>
      </c>
      <c r="H77" s="108"/>
      <c r="I77" s="108" t="s">
        <v>1401</v>
      </c>
      <c r="J77" s="108" t="s">
        <v>1442</v>
      </c>
      <c r="K77" s="108" t="str">
        <f>CONCATENATE( C1,C77,CHAR(10), D1,D77,CHAR(10), E1,E77,CHAR(10), F1,F77,CHAR(10), G1,G77,CHAR(10), H1,H77,CHAR(10), I1,I77,CHAR(10), J1,J77,CHAR(10), )</f>
        <v xml:space="preserve">Сечение
Длина- 1 м – Ø 1,0 мм2
Разъем: 
Напряжение:40А
Контакты:4 (позолоченные)
Влагозащита:
Температурный режим-10° - +70°
Примечаниеакустический универсальный
</v>
      </c>
      <c r="L77" s="117" t="s">
        <v>1415</v>
      </c>
      <c r="M77" s="72" t="s">
        <v>1827</v>
      </c>
      <c r="N77" s="72" t="str">
        <f t="shared" si="2"/>
        <v>Провод спикон - спикон MCF (NEXT)</v>
      </c>
      <c r="P77" s="72" t="s">
        <v>1840</v>
      </c>
      <c r="R77" s="72" t="s">
        <v>1837</v>
      </c>
      <c r="S77" s="72" t="s">
        <v>1841</v>
      </c>
      <c r="T77" s="72" t="s">
        <v>1842</v>
      </c>
      <c r="U77" s="72" t="s">
        <v>1843</v>
      </c>
      <c r="V77" s="72" t="s">
        <v>1844</v>
      </c>
      <c r="W77" s="72" t="s">
        <v>1837</v>
      </c>
    </row>
    <row r="78" spans="1:23" ht="135" x14ac:dyDescent="0.25">
      <c r="A78" s="126">
        <v>77</v>
      </c>
      <c r="B78" s="111" t="s">
        <v>1448</v>
      </c>
      <c r="C78" s="111"/>
      <c r="D78" s="108" t="s">
        <v>1489</v>
      </c>
      <c r="E78" s="111"/>
      <c r="F78" s="108" t="s">
        <v>1375</v>
      </c>
      <c r="G78" s="108" t="s">
        <v>1379</v>
      </c>
      <c r="H78" s="108"/>
      <c r="I78" s="108" t="s">
        <v>1401</v>
      </c>
      <c r="J78" s="108" t="s">
        <v>1442</v>
      </c>
      <c r="K78" s="108" t="str">
        <f>CONCATENATE( C1,C78,CHAR(10), D1,D78,CHAR(10), E1,E78,CHAR(10), F1,F78,CHAR(10), G1,G78,CHAR(10), H1,H78,CHAR(10), I1,I78,CHAR(10), J1,J78,CHAR(10), )</f>
        <v xml:space="preserve">Сечение
Длина- 1 м – Ø 1,5 мм2
Разъем: 
Напряжение:40А
Контакты:4 (позолоченные)
Влагозащита:
Температурный режим-10° - +70°
Примечаниеакустический универсальный
</v>
      </c>
      <c r="L78" s="117" t="s">
        <v>1449</v>
      </c>
      <c r="M78" s="72" t="s">
        <v>1827</v>
      </c>
      <c r="N78" s="72" t="str">
        <f t="shared" si="2"/>
        <v>Провод спикон - спикон MCF (NEXT)</v>
      </c>
      <c r="P78" s="72" t="s">
        <v>1840</v>
      </c>
      <c r="R78" s="72" t="s">
        <v>1837</v>
      </c>
      <c r="S78" s="72" t="s">
        <v>1841</v>
      </c>
      <c r="T78" s="72" t="s">
        <v>1842</v>
      </c>
      <c r="U78" s="72" t="s">
        <v>1843</v>
      </c>
      <c r="V78" s="72" t="s">
        <v>1844</v>
      </c>
      <c r="W78" s="72" t="s">
        <v>1837</v>
      </c>
    </row>
    <row r="79" spans="1:23" ht="135" x14ac:dyDescent="0.25">
      <c r="A79" s="126">
        <v>78</v>
      </c>
      <c r="B79" s="111" t="s">
        <v>1448</v>
      </c>
      <c r="C79" s="111"/>
      <c r="D79" s="108" t="s">
        <v>1490</v>
      </c>
      <c r="E79" s="111"/>
      <c r="F79" s="108" t="s">
        <v>1375</v>
      </c>
      <c r="G79" s="108" t="s">
        <v>1379</v>
      </c>
      <c r="H79" s="108"/>
      <c r="I79" s="108" t="s">
        <v>1401</v>
      </c>
      <c r="J79" s="108" t="s">
        <v>1442</v>
      </c>
      <c r="K79" s="108" t="str">
        <f>CONCATENATE( C1,C79,CHAR(10), D1,D79,CHAR(10), E1,E79,CHAR(10), F1,F79,CHAR(10), G1,G79,CHAR(10), H1,H79,CHAR(10), I1,I79,CHAR(10), J1,J79,CHAR(10), )</f>
        <v xml:space="preserve">Сечение
Длина- 1 м – Ø 2,0 мм2
Разъем: 
Напряжение:40А
Контакты:4 (позолоченные)
Влагозащита:
Температурный режим-10° - +70°
Примечаниеакустический универсальный
</v>
      </c>
      <c r="L79" s="117" t="s">
        <v>1416</v>
      </c>
      <c r="M79" s="72" t="s">
        <v>1827</v>
      </c>
      <c r="N79" s="72" t="str">
        <f t="shared" si="2"/>
        <v>Провод спикон - спикон MCF (NEXT)</v>
      </c>
      <c r="P79" s="72" t="s">
        <v>1840</v>
      </c>
      <c r="R79" s="72" t="s">
        <v>1837</v>
      </c>
      <c r="S79" s="72" t="s">
        <v>1841</v>
      </c>
      <c r="T79" s="72" t="s">
        <v>1842</v>
      </c>
      <c r="U79" s="72" t="s">
        <v>1843</v>
      </c>
      <c r="V79" s="72" t="s">
        <v>1844</v>
      </c>
      <c r="W79" s="72" t="s">
        <v>1837</v>
      </c>
    </row>
    <row r="80" spans="1:23" ht="135" x14ac:dyDescent="0.25">
      <c r="A80" s="126">
        <v>79</v>
      </c>
      <c r="B80" s="111" t="s">
        <v>1448</v>
      </c>
      <c r="C80" s="111"/>
      <c r="D80" s="108" t="s">
        <v>1491</v>
      </c>
      <c r="E80" s="111"/>
      <c r="F80" s="108" t="s">
        <v>1375</v>
      </c>
      <c r="G80" s="108" t="s">
        <v>1379</v>
      </c>
      <c r="H80" s="108"/>
      <c r="I80" s="108" t="s">
        <v>1401</v>
      </c>
      <c r="J80" s="108" t="s">
        <v>1442</v>
      </c>
      <c r="K80" s="108" t="str">
        <f>CONCATENATE( C1,C80,CHAR(10), D1,D80,CHAR(10), E1,E80,CHAR(10), F1,F80,CHAR(10), G1,G80,CHAR(10), H1,H80,CHAR(10), I1,I80,CHAR(10), J1,J80,CHAR(10), )</f>
        <v xml:space="preserve">Сечение
Длина- 5 м – Ø 1,0 мм2
Разъем: 
Напряжение:40А
Контакты:4 (позолоченные)
Влагозащита:
Температурный режим-10° - +70°
Примечаниеакустический универсальный
</v>
      </c>
      <c r="L80" s="117" t="s">
        <v>1418</v>
      </c>
      <c r="M80" s="72" t="s">
        <v>1827</v>
      </c>
      <c r="N80" s="72" t="str">
        <f t="shared" si="2"/>
        <v>Провод спикон - спикон MCF (NEXT)</v>
      </c>
      <c r="P80" s="72" t="s">
        <v>1840</v>
      </c>
      <c r="R80" s="72" t="s">
        <v>1837</v>
      </c>
      <c r="S80" s="72" t="s">
        <v>1841</v>
      </c>
      <c r="T80" s="72" t="s">
        <v>1842</v>
      </c>
      <c r="U80" s="72" t="s">
        <v>1843</v>
      </c>
      <c r="V80" s="72" t="s">
        <v>1844</v>
      </c>
      <c r="W80" s="72" t="s">
        <v>1837</v>
      </c>
    </row>
    <row r="81" spans="1:23" ht="135" x14ac:dyDescent="0.25">
      <c r="A81" s="126">
        <v>80</v>
      </c>
      <c r="B81" s="111" t="s">
        <v>1448</v>
      </c>
      <c r="C81" s="111"/>
      <c r="D81" s="108" t="s">
        <v>1492</v>
      </c>
      <c r="E81" s="111"/>
      <c r="F81" s="108" t="s">
        <v>1375</v>
      </c>
      <c r="G81" s="108" t="s">
        <v>1379</v>
      </c>
      <c r="H81" s="108"/>
      <c r="I81" s="108" t="s">
        <v>1401</v>
      </c>
      <c r="J81" s="108" t="s">
        <v>1442</v>
      </c>
      <c r="K81" s="108" t="str">
        <f>CONCATENATE( C1,C81,CHAR(10), D1,D81,CHAR(10), E1,E81,CHAR(10), F1,F81,CHAR(10), G1,G81,CHAR(10), H1,H81,CHAR(10), I1,I81,CHAR(10), J1,J81,CHAR(10), )</f>
        <v xml:space="preserve">Сечение
Длина- 5 м – Ø 1,5 мм2
Разъем: 
Напряжение:40А
Контакты:4 (позолоченные)
Влагозащита:
Температурный режим-10° - +70°
Примечаниеакустический универсальный
</v>
      </c>
      <c r="L81" s="117" t="s">
        <v>1420</v>
      </c>
      <c r="M81" s="72" t="s">
        <v>1827</v>
      </c>
      <c r="N81" s="72" t="str">
        <f t="shared" si="2"/>
        <v>Провод спикон - спикон MCF (NEXT)</v>
      </c>
      <c r="P81" s="72" t="s">
        <v>1840</v>
      </c>
      <c r="R81" s="72" t="s">
        <v>1837</v>
      </c>
      <c r="S81" s="72" t="s">
        <v>1841</v>
      </c>
      <c r="T81" s="72" t="s">
        <v>1842</v>
      </c>
      <c r="U81" s="72" t="s">
        <v>1843</v>
      </c>
      <c r="V81" s="72" t="s">
        <v>1844</v>
      </c>
      <c r="W81" s="72" t="s">
        <v>1837</v>
      </c>
    </row>
    <row r="82" spans="1:23" ht="135" x14ac:dyDescent="0.25">
      <c r="A82" s="126">
        <v>81</v>
      </c>
      <c r="B82" s="111" t="s">
        <v>1448</v>
      </c>
      <c r="C82" s="111"/>
      <c r="D82" s="108" t="s">
        <v>1493</v>
      </c>
      <c r="E82" s="111"/>
      <c r="F82" s="108" t="s">
        <v>1375</v>
      </c>
      <c r="G82" s="108" t="s">
        <v>1379</v>
      </c>
      <c r="H82" s="108"/>
      <c r="I82" s="108" t="s">
        <v>1401</v>
      </c>
      <c r="J82" s="108" t="s">
        <v>1442</v>
      </c>
      <c r="K82" s="108" t="str">
        <f>CONCATENATE( C1,C82,CHAR(10), D1,D82,CHAR(10), E1,E82,CHAR(10), F1,F82,CHAR(10), G1,G82,CHAR(10), H1,H82,CHAR(10), I1,I82,CHAR(10), J1,J82,CHAR(10), )</f>
        <v xml:space="preserve">Сечение
Длина- 5 м – Ø 2,0 мм2
Разъем: 
Напряжение:40А
Контакты:4 (позолоченные)
Влагозащита:
Температурный режим-10° - +70°
Примечаниеакустический универсальный
</v>
      </c>
      <c r="L82" s="117" t="s">
        <v>1427</v>
      </c>
      <c r="M82" s="72" t="s">
        <v>1827</v>
      </c>
      <c r="N82" s="72" t="str">
        <f t="shared" si="2"/>
        <v>Провод спикон - спикон MCF (NEXT)</v>
      </c>
      <c r="P82" s="72" t="s">
        <v>1840</v>
      </c>
      <c r="R82" s="72" t="s">
        <v>1837</v>
      </c>
      <c r="S82" s="72" t="s">
        <v>1841</v>
      </c>
      <c r="T82" s="72" t="s">
        <v>1842</v>
      </c>
      <c r="U82" s="72" t="s">
        <v>1843</v>
      </c>
      <c r="V82" s="72" t="s">
        <v>1844</v>
      </c>
      <c r="W82" s="72" t="s">
        <v>1837</v>
      </c>
    </row>
    <row r="83" spans="1:23" ht="135" x14ac:dyDescent="0.25">
      <c r="A83" s="126">
        <v>82</v>
      </c>
      <c r="B83" s="111" t="s">
        <v>1448</v>
      </c>
      <c r="C83" s="111"/>
      <c r="D83" s="108" t="s">
        <v>1494</v>
      </c>
      <c r="E83" s="111"/>
      <c r="F83" s="108" t="s">
        <v>1375</v>
      </c>
      <c r="G83" s="108" t="s">
        <v>1379</v>
      </c>
      <c r="H83" s="108"/>
      <c r="I83" s="108" t="s">
        <v>1401</v>
      </c>
      <c r="J83" s="108" t="s">
        <v>1442</v>
      </c>
      <c r="K83" s="108" t="str">
        <f>CONCATENATE( C1,C83,CHAR(10), D1,D83,CHAR(10), E1,E83,CHAR(10), F1,F83,CHAR(10), G1,G83,CHAR(10), H1,H83,CHAR(10), I1,I83,CHAR(10), J1,J83,CHAR(10), )</f>
        <v xml:space="preserve">Сечение
Длина- 10 м – Ø 1,0 мм2
Разъем: 
Напряжение:40А
Контакты:4 (позолоченные)
Влагозащита:
Температурный режим-10° - +70°
Примечаниеакустический универсальный
</v>
      </c>
      <c r="L83" s="117" t="s">
        <v>1423</v>
      </c>
      <c r="M83" s="72" t="s">
        <v>1827</v>
      </c>
      <c r="N83" s="72" t="str">
        <f t="shared" si="2"/>
        <v>Провод спикон - спикон MCF (NEXT)</v>
      </c>
      <c r="P83" s="72" t="s">
        <v>1840</v>
      </c>
      <c r="R83" s="72" t="s">
        <v>1837</v>
      </c>
      <c r="S83" s="72" t="s">
        <v>1841</v>
      </c>
      <c r="T83" s="72" t="s">
        <v>1842</v>
      </c>
      <c r="U83" s="72" t="s">
        <v>1843</v>
      </c>
      <c r="V83" s="72" t="s">
        <v>1844</v>
      </c>
      <c r="W83" s="72" t="s">
        <v>1837</v>
      </c>
    </row>
    <row r="84" spans="1:23" ht="135" x14ac:dyDescent="0.25">
      <c r="A84" s="126">
        <v>83</v>
      </c>
      <c r="B84" s="111" t="s">
        <v>1448</v>
      </c>
      <c r="C84" s="111"/>
      <c r="D84" s="108" t="s">
        <v>1495</v>
      </c>
      <c r="E84" s="111"/>
      <c r="F84" s="108" t="s">
        <v>1375</v>
      </c>
      <c r="G84" s="108" t="s">
        <v>1379</v>
      </c>
      <c r="H84" s="108"/>
      <c r="I84" s="108" t="s">
        <v>1401</v>
      </c>
      <c r="J84" s="108" t="s">
        <v>1442</v>
      </c>
      <c r="K84" s="108" t="str">
        <f>CONCATENATE( C1,C84,CHAR(10), D1,D84,CHAR(10), E1,E84,CHAR(10), F1,F84,CHAR(10), G1,G84,CHAR(10), H1,H84,CHAR(10), I1,I84,CHAR(10), J1,J84,CHAR(10), )</f>
        <v xml:space="preserve">Сечение
Длина- 10 м – Ø 1,5 мм2
Разъем: 
Напряжение:40А
Контакты:4 (позолоченные)
Влагозащита:
Температурный режим-10° - +70°
Примечаниеакустический универсальный
</v>
      </c>
      <c r="L84" s="117" t="s">
        <v>1450</v>
      </c>
      <c r="M84" s="72" t="s">
        <v>1827</v>
      </c>
      <c r="N84" s="72" t="str">
        <f t="shared" si="2"/>
        <v>Провод спикон - спикон MCF (NEXT)</v>
      </c>
      <c r="P84" s="72" t="s">
        <v>1840</v>
      </c>
      <c r="R84" s="72" t="s">
        <v>1837</v>
      </c>
      <c r="S84" s="72" t="s">
        <v>1841</v>
      </c>
      <c r="T84" s="72" t="s">
        <v>1842</v>
      </c>
      <c r="U84" s="72" t="s">
        <v>1843</v>
      </c>
      <c r="V84" s="72" t="s">
        <v>1844</v>
      </c>
      <c r="W84" s="72" t="s">
        <v>1837</v>
      </c>
    </row>
    <row r="85" spans="1:23" ht="135" x14ac:dyDescent="0.25">
      <c r="A85" s="126">
        <v>84</v>
      </c>
      <c r="B85" s="111" t="s">
        <v>1448</v>
      </c>
      <c r="C85" s="111"/>
      <c r="D85" s="108" t="s">
        <v>1496</v>
      </c>
      <c r="E85" s="111"/>
      <c r="F85" s="108" t="s">
        <v>1375</v>
      </c>
      <c r="G85" s="108" t="s">
        <v>1379</v>
      </c>
      <c r="H85" s="108"/>
      <c r="I85" s="108" t="s">
        <v>1401</v>
      </c>
      <c r="J85" s="108" t="s">
        <v>1442</v>
      </c>
      <c r="K85" s="108" t="str">
        <f>CONCATENATE( C1,C85,CHAR(10), D1,D85,CHAR(10), E1,E85,CHAR(10), F1,F85,CHAR(10), G1,G85,CHAR(10), H1,H85,CHAR(10), I1,I85,CHAR(10), J1,J85,CHAR(10), )</f>
        <v xml:space="preserve">Сечение
Длина- 10 м – Ø 2,0 мм2
Разъем: 
Напряжение:40А
Контакты:4 (позолоченные)
Влагозащита:
Температурный режим-10° - +70°
Примечаниеакустический универсальный
</v>
      </c>
      <c r="L85" s="117" t="s">
        <v>1429</v>
      </c>
      <c r="M85" s="72" t="s">
        <v>1827</v>
      </c>
      <c r="N85" s="72" t="str">
        <f t="shared" si="2"/>
        <v>Провод спикон - спикон MCF (NEXT)</v>
      </c>
      <c r="P85" s="72" t="s">
        <v>1840</v>
      </c>
      <c r="R85" s="72" t="s">
        <v>1837</v>
      </c>
      <c r="S85" s="72" t="s">
        <v>1841</v>
      </c>
      <c r="T85" s="72" t="s">
        <v>1842</v>
      </c>
      <c r="U85" s="72" t="s">
        <v>1843</v>
      </c>
      <c r="V85" s="72" t="s">
        <v>1844</v>
      </c>
      <c r="W85" s="72" t="s">
        <v>1837</v>
      </c>
    </row>
    <row r="86" spans="1:23" ht="135" x14ac:dyDescent="0.25">
      <c r="A86" s="126">
        <v>85</v>
      </c>
      <c r="B86" s="111" t="s">
        <v>1448</v>
      </c>
      <c r="C86" s="111"/>
      <c r="D86" s="108" t="s">
        <v>1497</v>
      </c>
      <c r="E86" s="111"/>
      <c r="F86" s="108" t="s">
        <v>1375</v>
      </c>
      <c r="G86" s="108" t="s">
        <v>1379</v>
      </c>
      <c r="H86" s="108"/>
      <c r="I86" s="108" t="s">
        <v>1401</v>
      </c>
      <c r="J86" s="108" t="s">
        <v>1442</v>
      </c>
      <c r="K86" s="108" t="str">
        <f>CONCATENATE( C1,C86,CHAR(10), D1,D86,CHAR(10), E1,E86,CHAR(10), F1,F86,CHAR(10), G1,G86,CHAR(10), H1,H86,CHAR(10), I1,I86,CHAR(10), J1,J86,CHAR(10), )</f>
        <v xml:space="preserve">Сечение
Длина- 15 м – Ø 1,0 мм2
Разъем: 
Напряжение:40А
Контакты:4 (позолоченные)
Влагозащита:
Температурный режим-10° - +70°
Примечаниеакустический универсальный
</v>
      </c>
      <c r="L86" s="117" t="s">
        <v>1429</v>
      </c>
      <c r="M86" s="72" t="s">
        <v>1827</v>
      </c>
      <c r="N86" s="72" t="str">
        <f t="shared" si="2"/>
        <v>Провод спикон - спикон MCF (NEXT)</v>
      </c>
      <c r="P86" s="72" t="s">
        <v>1840</v>
      </c>
      <c r="R86" s="72" t="s">
        <v>1837</v>
      </c>
      <c r="S86" s="72" t="s">
        <v>1841</v>
      </c>
      <c r="T86" s="72" t="s">
        <v>1842</v>
      </c>
      <c r="U86" s="72" t="s">
        <v>1843</v>
      </c>
      <c r="V86" s="72" t="s">
        <v>1844</v>
      </c>
      <c r="W86" s="72" t="s">
        <v>1837</v>
      </c>
    </row>
    <row r="87" spans="1:23" ht="135" x14ac:dyDescent="0.25">
      <c r="A87" s="126">
        <v>86</v>
      </c>
      <c r="B87" s="111" t="s">
        <v>1448</v>
      </c>
      <c r="C87" s="111"/>
      <c r="D87" s="108" t="s">
        <v>1498</v>
      </c>
      <c r="E87" s="111"/>
      <c r="F87" s="108" t="s">
        <v>1375</v>
      </c>
      <c r="G87" s="108" t="s">
        <v>1379</v>
      </c>
      <c r="H87" s="108"/>
      <c r="I87" s="108" t="s">
        <v>1401</v>
      </c>
      <c r="J87" s="108" t="s">
        <v>1442</v>
      </c>
      <c r="K87" s="108" t="str">
        <f>CONCATENATE( C1,C87,CHAR(10), D1,D87,CHAR(10), E1,E87,CHAR(10), F1,F87,CHAR(10), G1,G87,CHAR(10), H1,H87,CHAR(10), I1,I87,CHAR(10), J1,J87,CHAR(10), )</f>
        <v xml:space="preserve">Сечение
Длина- 15 м – Ø 1,5 мм2
Разъем: 
Напряжение:40А
Контакты:4 (позолоченные)
Влагозащита:
Температурный режим-10° - +70°
Примечаниеакустический универсальный
</v>
      </c>
      <c r="L87" s="117" t="s">
        <v>1446</v>
      </c>
      <c r="M87" s="72" t="s">
        <v>1827</v>
      </c>
      <c r="N87" s="72" t="str">
        <f t="shared" si="2"/>
        <v>Провод спикон - спикон MCF (NEXT)</v>
      </c>
      <c r="P87" s="72" t="s">
        <v>1840</v>
      </c>
      <c r="R87" s="72" t="s">
        <v>1837</v>
      </c>
      <c r="S87" s="72" t="s">
        <v>1841</v>
      </c>
      <c r="T87" s="72" t="s">
        <v>1842</v>
      </c>
      <c r="U87" s="72" t="s">
        <v>1843</v>
      </c>
      <c r="V87" s="72" t="s">
        <v>1844</v>
      </c>
      <c r="W87" s="72" t="s">
        <v>1837</v>
      </c>
    </row>
    <row r="88" spans="1:23" ht="135" x14ac:dyDescent="0.25">
      <c r="A88" s="126">
        <v>87</v>
      </c>
      <c r="B88" s="111" t="s">
        <v>1448</v>
      </c>
      <c r="C88" s="111"/>
      <c r="D88" s="108" t="s">
        <v>1499</v>
      </c>
      <c r="E88" s="111"/>
      <c r="F88" s="108" t="s">
        <v>1375</v>
      </c>
      <c r="G88" s="108" t="s">
        <v>1379</v>
      </c>
      <c r="H88" s="108"/>
      <c r="I88" s="108" t="s">
        <v>1401</v>
      </c>
      <c r="J88" s="108" t="s">
        <v>1442</v>
      </c>
      <c r="K88" s="108" t="str">
        <f>CONCATENATE( C1,C88,CHAR(10), D1,D88,CHAR(10), E1,E88,CHAR(10), F1,F88,CHAR(10), G1,G88,CHAR(10), H1,H88,CHAR(10), I1,I88,CHAR(10), J1,J88,CHAR(10), )</f>
        <v xml:space="preserve">Сечение
Длина- 15 м – Ø 2,0 мм2
Разъем: 
Напряжение:40А
Контакты:4 (позолоченные)
Влагозащита:
Температурный режим-10° - +70°
Примечаниеакустический универсальный
</v>
      </c>
      <c r="L88" s="117" t="s">
        <v>1451</v>
      </c>
      <c r="M88" s="72" t="s">
        <v>1827</v>
      </c>
      <c r="N88" s="72" t="str">
        <f t="shared" si="2"/>
        <v>Провод спикон - спикон MCF (NEXT)</v>
      </c>
      <c r="P88" s="72" t="s">
        <v>1840</v>
      </c>
      <c r="R88" s="72" t="s">
        <v>1837</v>
      </c>
      <c r="S88" s="72" t="s">
        <v>1841</v>
      </c>
      <c r="T88" s="72" t="s">
        <v>1842</v>
      </c>
      <c r="U88" s="72" t="s">
        <v>1843</v>
      </c>
      <c r="V88" s="72" t="s">
        <v>1844</v>
      </c>
      <c r="W88" s="72" t="s">
        <v>1837</v>
      </c>
    </row>
    <row r="89" spans="1:23" ht="150" x14ac:dyDescent="0.25">
      <c r="A89" s="126">
        <v>88</v>
      </c>
      <c r="B89" s="111" t="s">
        <v>1452</v>
      </c>
      <c r="C89" s="111"/>
      <c r="D89" s="108" t="s">
        <v>1500</v>
      </c>
      <c r="E89" s="111"/>
      <c r="F89" s="108" t="s">
        <v>1375</v>
      </c>
      <c r="G89" s="108" t="s">
        <v>1379</v>
      </c>
      <c r="H89" s="108"/>
      <c r="I89" s="108" t="s">
        <v>1401</v>
      </c>
      <c r="J89" s="108" t="s">
        <v>1453</v>
      </c>
      <c r="K89" s="108" t="str">
        <f>CONCATENATE( C1,C89,CHAR(10), D1,D89,CHAR(10), E1,E89,CHAR(10), F1,F89,CHAR(10), G1,G89,CHAR(10), H1,H89,CHAR(10), I1,I89,CHAR(10), J1,J89,CHAR(10), )</f>
        <v xml:space="preserve">Сечение
Длина- 1 м – Ø 2,5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89" s="117" t="s">
        <v>1416</v>
      </c>
      <c r="M89" s="72" t="s">
        <v>1827</v>
      </c>
      <c r="N89" s="72" t="str">
        <f t="shared" si="2"/>
        <v>Провод спикон - спикон MCF (NEXT II)</v>
      </c>
      <c r="P89" s="72" t="s">
        <v>1840</v>
      </c>
      <c r="R89" s="72" t="s">
        <v>1837</v>
      </c>
      <c r="S89" s="72" t="s">
        <v>1841</v>
      </c>
      <c r="T89" s="72" t="s">
        <v>1842</v>
      </c>
      <c r="U89" s="72" t="s">
        <v>1843</v>
      </c>
      <c r="V89" s="72" t="s">
        <v>1844</v>
      </c>
      <c r="W89" s="72" t="s">
        <v>1837</v>
      </c>
    </row>
    <row r="90" spans="1:23" ht="150" x14ac:dyDescent="0.25">
      <c r="A90" s="126">
        <v>89</v>
      </c>
      <c r="B90" s="111" t="s">
        <v>1452</v>
      </c>
      <c r="C90" s="111"/>
      <c r="D90" s="108" t="s">
        <v>1501</v>
      </c>
      <c r="E90" s="111"/>
      <c r="F90" s="108" t="s">
        <v>1375</v>
      </c>
      <c r="G90" s="108" t="s">
        <v>1379</v>
      </c>
      <c r="H90" s="108"/>
      <c r="I90" s="108" t="s">
        <v>1401</v>
      </c>
      <c r="J90" s="108" t="s">
        <v>1453</v>
      </c>
      <c r="K90" s="108" t="str">
        <f>CONCATENATE( C1,C90,CHAR(10), D1,D90,CHAR(10), E1,E90,CHAR(10), F1,F90,CHAR(10), G1,G90,CHAR(10), H1,H90,CHAR(10), I1,I90,CHAR(10), J1,J90,CHAR(10), )</f>
        <v xml:space="preserve">Сечение
Длина- 1 м – Ø 4,0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0" s="117" t="s">
        <v>1417</v>
      </c>
      <c r="M90" s="72" t="s">
        <v>1827</v>
      </c>
      <c r="N90" s="72" t="str">
        <f t="shared" si="2"/>
        <v>Провод спикон - спикон MCF (NEXT II)</v>
      </c>
      <c r="P90" s="72" t="s">
        <v>1840</v>
      </c>
      <c r="R90" s="72" t="s">
        <v>1837</v>
      </c>
      <c r="S90" s="72" t="s">
        <v>1841</v>
      </c>
      <c r="T90" s="72" t="s">
        <v>1842</v>
      </c>
      <c r="U90" s="72" t="s">
        <v>1843</v>
      </c>
      <c r="V90" s="72" t="s">
        <v>1844</v>
      </c>
      <c r="W90" s="72" t="s">
        <v>1837</v>
      </c>
    </row>
    <row r="91" spans="1:23" ht="150" x14ac:dyDescent="0.25">
      <c r="A91" s="126">
        <v>90</v>
      </c>
      <c r="B91" s="111" t="s">
        <v>1452</v>
      </c>
      <c r="C91" s="111"/>
      <c r="D91" s="108" t="s">
        <v>1502</v>
      </c>
      <c r="E91" s="111"/>
      <c r="F91" s="108" t="s">
        <v>1375</v>
      </c>
      <c r="G91" s="108" t="s">
        <v>1379</v>
      </c>
      <c r="H91" s="108"/>
      <c r="I91" s="108" t="s">
        <v>1401</v>
      </c>
      <c r="J91" s="108" t="s">
        <v>1453</v>
      </c>
      <c r="K91" s="108" t="str">
        <f>CONCATENATE( C1,C91,CHAR(10), D1,D91,CHAR(10), E1,E91,CHAR(10), F1,F91,CHAR(10), G1,G91,CHAR(10), H1,H91,CHAR(10), I1,I91,CHAR(10), J1,J91,CHAR(10), )</f>
        <v xml:space="preserve">Сечение
Длина- 5 м – Ø 2,5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1" s="117" t="s">
        <v>1422</v>
      </c>
      <c r="M91" s="72" t="s">
        <v>1827</v>
      </c>
      <c r="N91" s="72" t="str">
        <f t="shared" si="2"/>
        <v>Провод спикон - спикон MCF (NEXT II)</v>
      </c>
      <c r="P91" s="72" t="s">
        <v>1840</v>
      </c>
      <c r="R91" s="72" t="s">
        <v>1837</v>
      </c>
      <c r="S91" s="72" t="s">
        <v>1841</v>
      </c>
      <c r="T91" s="72" t="s">
        <v>1842</v>
      </c>
      <c r="U91" s="72" t="s">
        <v>1843</v>
      </c>
      <c r="V91" s="72" t="s">
        <v>1844</v>
      </c>
      <c r="W91" s="72" t="s">
        <v>1837</v>
      </c>
    </row>
    <row r="92" spans="1:23" ht="150" x14ac:dyDescent="0.25">
      <c r="A92" s="126">
        <v>91</v>
      </c>
      <c r="B92" s="111" t="s">
        <v>1452</v>
      </c>
      <c r="C92" s="111"/>
      <c r="D92" s="108" t="s">
        <v>1503</v>
      </c>
      <c r="E92" s="111"/>
      <c r="F92" s="108" t="s">
        <v>1375</v>
      </c>
      <c r="G92" s="108" t="s">
        <v>1379</v>
      </c>
      <c r="H92" s="108"/>
      <c r="I92" s="108" t="s">
        <v>1401</v>
      </c>
      <c r="J92" s="108" t="s">
        <v>1453</v>
      </c>
      <c r="K92" s="108" t="str">
        <f>CONCATENATE( C1,C92,CHAR(10), D1,D92,CHAR(10), E1,E92,CHAR(10), F1,F92,CHAR(10), G1,G92,CHAR(10), H1,H92,CHAR(10), I1,I92,CHAR(10), J1,J92,CHAR(10), )</f>
        <v xml:space="preserve">Сечение
Длина- 5 м – Ø 4,0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2" s="117" t="s">
        <v>1423</v>
      </c>
      <c r="M92" s="72" t="s">
        <v>1827</v>
      </c>
      <c r="N92" s="72" t="str">
        <f t="shared" si="2"/>
        <v>Провод спикон - спикон MCF (NEXT II)</v>
      </c>
      <c r="P92" s="72" t="s">
        <v>1840</v>
      </c>
      <c r="R92" s="72" t="s">
        <v>1837</v>
      </c>
      <c r="S92" s="72" t="s">
        <v>1841</v>
      </c>
      <c r="T92" s="72" t="s">
        <v>1842</v>
      </c>
      <c r="U92" s="72" t="s">
        <v>1843</v>
      </c>
      <c r="V92" s="72" t="s">
        <v>1844</v>
      </c>
      <c r="W92" s="72" t="s">
        <v>1837</v>
      </c>
    </row>
    <row r="93" spans="1:23" ht="150" x14ac:dyDescent="0.25">
      <c r="A93" s="126">
        <v>92</v>
      </c>
      <c r="B93" s="111" t="s">
        <v>1452</v>
      </c>
      <c r="C93" s="111"/>
      <c r="D93" s="108" t="s">
        <v>1504</v>
      </c>
      <c r="E93" s="111"/>
      <c r="F93" s="108" t="s">
        <v>1375</v>
      </c>
      <c r="G93" s="108" t="s">
        <v>1379</v>
      </c>
      <c r="H93" s="108"/>
      <c r="I93" s="108" t="s">
        <v>1401</v>
      </c>
      <c r="J93" s="108" t="s">
        <v>1453</v>
      </c>
      <c r="K93" s="108" t="str">
        <f>CONCATENATE( C1,C93,CHAR(10), D1,D93,CHAR(10), E1,E93,CHAR(10), F1,F93,CHAR(10), G1,G93,CHAR(10), H1,H93,CHAR(10), I1,I93,CHAR(10), J1,J93,CHAR(10), )</f>
        <v xml:space="preserve">Сечение
Длина- 10 м – Ø 2,5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3" s="117" t="s">
        <v>1445</v>
      </c>
      <c r="M93" s="72" t="s">
        <v>1827</v>
      </c>
      <c r="N93" s="72" t="str">
        <f t="shared" si="2"/>
        <v>Провод спикон - спикон MCF (NEXT II)</v>
      </c>
      <c r="P93" s="72" t="s">
        <v>1840</v>
      </c>
      <c r="R93" s="72" t="s">
        <v>1837</v>
      </c>
      <c r="S93" s="72" t="s">
        <v>1841</v>
      </c>
      <c r="T93" s="72" t="s">
        <v>1842</v>
      </c>
      <c r="U93" s="72" t="s">
        <v>1843</v>
      </c>
      <c r="V93" s="72" t="s">
        <v>1844</v>
      </c>
      <c r="W93" s="72" t="s">
        <v>1837</v>
      </c>
    </row>
    <row r="94" spans="1:23" ht="150" x14ac:dyDescent="0.25">
      <c r="A94" s="126">
        <v>93</v>
      </c>
      <c r="B94" s="111" t="s">
        <v>1452</v>
      </c>
      <c r="C94" s="111"/>
      <c r="D94" s="108" t="s">
        <v>1505</v>
      </c>
      <c r="E94" s="111"/>
      <c r="F94" s="108" t="s">
        <v>1375</v>
      </c>
      <c r="G94" s="108" t="s">
        <v>1379</v>
      </c>
      <c r="H94" s="108"/>
      <c r="I94" s="108" t="s">
        <v>1401</v>
      </c>
      <c r="J94" s="108" t="s">
        <v>1453</v>
      </c>
      <c r="K94" s="108" t="str">
        <f>CONCATENATE( C1,C94,CHAR(10), D1,D94,CHAR(10), E1,E94,CHAR(10), F1,F94,CHAR(10), G1,G94,CHAR(10), H1,H94,CHAR(10), I1,I94,CHAR(10), J1,J94,CHAR(10), )</f>
        <v xml:space="preserve">Сечение
Длина- 10 м – Ø 4,0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4" s="117" t="s">
        <v>1425</v>
      </c>
      <c r="M94" s="72" t="s">
        <v>1827</v>
      </c>
      <c r="N94" s="72" t="str">
        <f t="shared" si="2"/>
        <v>Провод спикон - спикон MCF (NEXT II)</v>
      </c>
      <c r="P94" s="72" t="s">
        <v>1840</v>
      </c>
      <c r="R94" s="72" t="s">
        <v>1837</v>
      </c>
      <c r="S94" s="72" t="s">
        <v>1841</v>
      </c>
      <c r="T94" s="72" t="s">
        <v>1842</v>
      </c>
      <c r="U94" s="72" t="s">
        <v>1843</v>
      </c>
      <c r="V94" s="72" t="s">
        <v>1844</v>
      </c>
      <c r="W94" s="72" t="s">
        <v>1837</v>
      </c>
    </row>
    <row r="95" spans="1:23" ht="150" x14ac:dyDescent="0.25">
      <c r="A95" s="126">
        <v>94</v>
      </c>
      <c r="B95" s="111" t="s">
        <v>1452</v>
      </c>
      <c r="C95" s="111"/>
      <c r="D95" s="108" t="s">
        <v>1506</v>
      </c>
      <c r="E95" s="111"/>
      <c r="F95" s="108" t="s">
        <v>1375</v>
      </c>
      <c r="G95" s="108" t="s">
        <v>1379</v>
      </c>
      <c r="H95" s="108"/>
      <c r="I95" s="108" t="s">
        <v>1401</v>
      </c>
      <c r="J95" s="108" t="s">
        <v>1453</v>
      </c>
      <c r="K95" s="108" t="str">
        <f>CONCATENATE( C1,C95,CHAR(10), D1,D95,CHAR(10), E1,E95,CHAR(10), F1,F95,CHAR(10), G1,G95,CHAR(10), H1,H95,CHAR(10), I1,I95,CHAR(10), J1,J95,CHAR(10), )</f>
        <v xml:space="preserve">Сечение
Длина- 15 м – Ø 2,5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5" s="117" t="s">
        <v>1454</v>
      </c>
      <c r="M95" s="72" t="s">
        <v>1827</v>
      </c>
      <c r="N95" s="72" t="str">
        <f t="shared" si="2"/>
        <v>Провод спикон - спикон MCF (NEXT II)</v>
      </c>
      <c r="P95" s="72" t="s">
        <v>1840</v>
      </c>
      <c r="R95" s="72" t="s">
        <v>1837</v>
      </c>
      <c r="S95" s="72" t="s">
        <v>1841</v>
      </c>
      <c r="T95" s="72" t="s">
        <v>1842</v>
      </c>
      <c r="U95" s="72" t="s">
        <v>1843</v>
      </c>
      <c r="V95" s="72" t="s">
        <v>1844</v>
      </c>
      <c r="W95" s="72" t="s">
        <v>1837</v>
      </c>
    </row>
    <row r="96" spans="1:23" ht="150" x14ac:dyDescent="0.25">
      <c r="A96" s="126">
        <v>95</v>
      </c>
      <c r="B96" s="111" t="s">
        <v>1452</v>
      </c>
      <c r="C96" s="111"/>
      <c r="D96" s="108" t="s">
        <v>1507</v>
      </c>
      <c r="E96" s="111"/>
      <c r="F96" s="108" t="s">
        <v>1375</v>
      </c>
      <c r="G96" s="108" t="s">
        <v>1379</v>
      </c>
      <c r="H96" s="108"/>
      <c r="I96" s="108" t="s">
        <v>1401</v>
      </c>
      <c r="J96" s="108" t="s">
        <v>1453</v>
      </c>
      <c r="K96" s="108" t="str">
        <f>CONCATENATE( C1,C96,CHAR(10), D1,D96,CHAR(10), E1,E96,CHAR(10), F1,F96,CHAR(10), G1,G96,CHAR(10), H1,H96,CHAR(10), I1,I96,CHAR(10), J1,J96,CHAR(10), )</f>
        <v xml:space="preserve">Сечение
Длина- 15 м – Ø 4,0 мм2
Разъем: 
Напряжение:40А
Контакты:4 (позолоченные)
Влагозащита:
Температурный режим-10° - +70°
Примечаниеакустический универсальный (морозостойкий)
</v>
      </c>
      <c r="L96" s="117" t="s">
        <v>1455</v>
      </c>
      <c r="M96" s="72" t="s">
        <v>1827</v>
      </c>
      <c r="N96" s="72" t="str">
        <f t="shared" si="2"/>
        <v>Провод спикон - спикон MCF (NEXT II)</v>
      </c>
      <c r="P96" s="72" t="s">
        <v>1840</v>
      </c>
      <c r="R96" s="72" t="s">
        <v>1837</v>
      </c>
      <c r="S96" s="72" t="s">
        <v>1841</v>
      </c>
      <c r="T96" s="72" t="s">
        <v>1842</v>
      </c>
      <c r="U96" s="72" t="s">
        <v>1843</v>
      </c>
      <c r="V96" s="72" t="s">
        <v>1844</v>
      </c>
      <c r="W96" s="72" t="s">
        <v>1837</v>
      </c>
    </row>
    <row r="97" spans="2:4" x14ac:dyDescent="0.25">
      <c r="B97" s="119"/>
      <c r="C97" s="119"/>
      <c r="D97" s="119"/>
    </row>
    <row r="99" spans="2:4" x14ac:dyDescent="0.25">
      <c r="B99" s="119"/>
      <c r="C99" s="119"/>
      <c r="D99" s="119"/>
    </row>
    <row r="100" spans="2:4" x14ac:dyDescent="0.25">
      <c r="B100" s="119"/>
      <c r="C100" s="119"/>
      <c r="D100" s="119"/>
    </row>
    <row r="102" spans="2:4" x14ac:dyDescent="0.25">
      <c r="B102" s="119"/>
      <c r="C102" s="119"/>
      <c r="D102" s="119"/>
    </row>
    <row r="103" spans="2:4" x14ac:dyDescent="0.25">
      <c r="B103" s="119"/>
      <c r="C103" s="119"/>
      <c r="D103" s="119"/>
    </row>
    <row r="104" spans="2:4" x14ac:dyDescent="0.25">
      <c r="B104" s="119"/>
      <c r="C104" s="119"/>
      <c r="D104" s="119"/>
    </row>
    <row r="105" spans="2:4" x14ac:dyDescent="0.25">
      <c r="B105" s="119"/>
      <c r="C105" s="119"/>
      <c r="D105" s="119"/>
    </row>
    <row r="106" spans="2:4" x14ac:dyDescent="0.25">
      <c r="B106" s="119"/>
      <c r="C106" s="119"/>
      <c r="D106" s="119"/>
    </row>
    <row r="107" spans="2:4" x14ac:dyDescent="0.25">
      <c r="B107" s="119"/>
      <c r="C107" s="119"/>
      <c r="D107" s="119"/>
    </row>
    <row r="108" spans="2:4" x14ac:dyDescent="0.25">
      <c r="B108" s="119"/>
      <c r="C108" s="119"/>
      <c r="D108" s="119"/>
    </row>
    <row r="109" spans="2:4" x14ac:dyDescent="0.25">
      <c r="B109" s="119"/>
      <c r="C109" s="119"/>
      <c r="D109" s="119"/>
    </row>
    <row r="110" spans="2:4" x14ac:dyDescent="0.25">
      <c r="B110" s="119"/>
      <c r="C110" s="119"/>
      <c r="D110" s="119"/>
    </row>
    <row r="111" spans="2:4" x14ac:dyDescent="0.25">
      <c r="B111" s="120"/>
      <c r="C111" s="120"/>
      <c r="D111" s="120"/>
    </row>
    <row r="112" spans="2:4" x14ac:dyDescent="0.25">
      <c r="B112" s="121"/>
      <c r="C112" s="121"/>
      <c r="D112" s="121"/>
    </row>
    <row r="114" spans="2:4" x14ac:dyDescent="0.25">
      <c r="B114" s="122"/>
      <c r="C114" s="122"/>
      <c r="D114" s="122"/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B25"/>
  <sheetViews>
    <sheetView workbookViewId="0">
      <pane ySplit="1" topLeftCell="A2" activePane="bottomLeft" state="frozen"/>
      <selection activeCell="U1" sqref="U1"/>
      <selection pane="bottomLeft" activeCell="AQ2" sqref="AQ2"/>
    </sheetView>
  </sheetViews>
  <sheetFormatPr defaultColWidth="7.5703125" defaultRowHeight="248.25" customHeight="1" x14ac:dyDescent="0.25"/>
  <cols>
    <col min="1" max="1" width="7.5703125" style="89"/>
    <col min="2" max="2" width="7.5703125" style="98"/>
    <col min="3" max="3" width="0" style="98" hidden="1" customWidth="1"/>
    <col min="4" max="41" width="7.5703125" style="98" hidden="1" customWidth="1"/>
    <col min="42" max="42" width="50.42578125" style="98" customWidth="1"/>
    <col min="43" max="44" width="7.5703125" style="98"/>
    <col min="45" max="45" width="54.7109375" style="98" bestFit="1" customWidth="1"/>
    <col min="46" max="46" width="62.5703125" style="98" bestFit="1" customWidth="1"/>
    <col min="47" max="16384" width="7.5703125" style="98"/>
  </cols>
  <sheetData>
    <row r="1" spans="1:54" s="128" customFormat="1" ht="24" customHeight="1" x14ac:dyDescent="0.25">
      <c r="A1" s="128" t="s">
        <v>636</v>
      </c>
      <c r="C1" s="125" t="s">
        <v>1509</v>
      </c>
      <c r="D1" s="125" t="s">
        <v>1608</v>
      </c>
      <c r="E1" s="125" t="s">
        <v>1564</v>
      </c>
      <c r="F1" s="125" t="s">
        <v>1659</v>
      </c>
      <c r="G1" s="125" t="s">
        <v>1510</v>
      </c>
      <c r="H1" s="125" t="s">
        <v>1566</v>
      </c>
      <c r="I1" s="125" t="s">
        <v>1512</v>
      </c>
      <c r="J1" s="125" t="s">
        <v>1514</v>
      </c>
      <c r="K1" s="125" t="s">
        <v>1516</v>
      </c>
      <c r="L1" s="125" t="s">
        <v>1568</v>
      </c>
      <c r="M1" s="125" t="s">
        <v>1517</v>
      </c>
      <c r="N1" s="125" t="s">
        <v>1519</v>
      </c>
      <c r="O1" s="125" t="s">
        <v>1521</v>
      </c>
      <c r="P1" s="125" t="s">
        <v>1569</v>
      </c>
      <c r="Q1" s="125" t="s">
        <v>1523</v>
      </c>
      <c r="R1" s="125" t="s">
        <v>1584</v>
      </c>
      <c r="S1" s="125" t="s">
        <v>1590</v>
      </c>
      <c r="T1" s="125" t="s">
        <v>1525</v>
      </c>
      <c r="U1" s="125" t="s">
        <v>1527</v>
      </c>
      <c r="V1" s="125" t="s">
        <v>1529</v>
      </c>
      <c r="W1" s="125" t="s">
        <v>1531</v>
      </c>
      <c r="X1" s="125" t="s">
        <v>1533</v>
      </c>
      <c r="Y1" s="125" t="s">
        <v>1535</v>
      </c>
      <c r="Z1" s="125" t="s">
        <v>1537</v>
      </c>
      <c r="AA1" s="125" t="s">
        <v>1601</v>
      </c>
      <c r="AB1" s="125" t="s">
        <v>1539</v>
      </c>
      <c r="AC1" s="125" t="s">
        <v>1610</v>
      </c>
      <c r="AD1" s="125" t="s">
        <v>1593</v>
      </c>
      <c r="AE1" s="125" t="s">
        <v>1552</v>
      </c>
      <c r="AF1" s="125" t="s">
        <v>1541</v>
      </c>
      <c r="AG1" s="125" t="s">
        <v>1603</v>
      </c>
      <c r="AH1" s="125" t="s">
        <v>1543</v>
      </c>
      <c r="AI1" s="125" t="s">
        <v>1612</v>
      </c>
      <c r="AJ1" s="125" t="s">
        <v>1605</v>
      </c>
      <c r="AK1" s="125" t="s">
        <v>1555</v>
      </c>
      <c r="AL1" s="125" t="s">
        <v>1557</v>
      </c>
      <c r="AM1" s="125" t="s">
        <v>1595</v>
      </c>
      <c r="AN1" s="125" t="s">
        <v>1651</v>
      </c>
      <c r="AO1" s="125" t="s">
        <v>1572</v>
      </c>
      <c r="AP1" s="125" t="s">
        <v>1651</v>
      </c>
      <c r="AQ1" s="125" t="s">
        <v>1</v>
      </c>
      <c r="AR1" s="74" t="s">
        <v>1826</v>
      </c>
      <c r="AS1" s="74" t="s">
        <v>1828</v>
      </c>
      <c r="AT1" s="74" t="s">
        <v>1829</v>
      </c>
      <c r="AU1" s="74" t="s">
        <v>1830</v>
      </c>
      <c r="AV1" s="74" t="s">
        <v>1831</v>
      </c>
      <c r="AW1" s="74" t="s">
        <v>1832</v>
      </c>
      <c r="AX1" s="74" t="s">
        <v>1833</v>
      </c>
      <c r="AY1" s="74" t="s">
        <v>1834</v>
      </c>
      <c r="AZ1" s="74" t="s">
        <v>1835</v>
      </c>
      <c r="BA1" s="74" t="s">
        <v>1836</v>
      </c>
      <c r="BB1" s="74" t="s">
        <v>1845</v>
      </c>
    </row>
    <row r="2" spans="1:54" ht="248.25" customHeight="1" x14ac:dyDescent="0.25">
      <c r="A2" s="89">
        <v>1</v>
      </c>
      <c r="B2" s="89" t="s">
        <v>1508</v>
      </c>
      <c r="C2" s="90">
        <v>2</v>
      </c>
      <c r="D2" s="90"/>
      <c r="E2" s="90"/>
      <c r="F2" s="90"/>
      <c r="G2" s="90" t="s">
        <v>1511</v>
      </c>
      <c r="H2" s="90"/>
      <c r="I2" s="90" t="s">
        <v>1513</v>
      </c>
      <c r="J2" s="90" t="s">
        <v>1515</v>
      </c>
      <c r="K2" s="90">
        <v>2</v>
      </c>
      <c r="L2" s="90"/>
      <c r="M2" s="90" t="s">
        <v>1518</v>
      </c>
      <c r="N2" s="90" t="s">
        <v>1520</v>
      </c>
      <c r="O2" s="90" t="s">
        <v>1522</v>
      </c>
      <c r="P2" s="90"/>
      <c r="Q2" s="90" t="s">
        <v>1524</v>
      </c>
      <c r="R2" s="90"/>
      <c r="S2" s="90"/>
      <c r="T2" s="90" t="s">
        <v>1526</v>
      </c>
      <c r="U2" s="90" t="s">
        <v>1528</v>
      </c>
      <c r="V2" s="90" t="s">
        <v>1530</v>
      </c>
      <c r="W2" s="90" t="s">
        <v>1532</v>
      </c>
      <c r="X2" s="90" t="s">
        <v>1534</v>
      </c>
      <c r="Y2" s="90" t="s">
        <v>1536</v>
      </c>
      <c r="Z2" s="90" t="s">
        <v>1538</v>
      </c>
      <c r="AA2" s="90"/>
      <c r="AB2" s="90" t="s">
        <v>1540</v>
      </c>
      <c r="AC2" s="90"/>
      <c r="AD2" s="90"/>
      <c r="AE2" s="90"/>
      <c r="AF2" s="90" t="s">
        <v>1542</v>
      </c>
      <c r="AG2" s="90"/>
      <c r="AH2" s="90" t="s">
        <v>1544</v>
      </c>
      <c r="AI2" s="90"/>
      <c r="AJ2" s="90"/>
      <c r="AK2" s="90"/>
      <c r="AL2" s="90"/>
      <c r="AM2" s="90"/>
      <c r="AN2" s="90"/>
      <c r="AO2" s="90"/>
      <c r="AP2" s="90" t="str">
        <f>CONCATENATE( C1,C2,CHAR(10), D1,D2,CHAR(10), E1,E2,CHAR(10), F1,F2,CHAR(10), G1,G2,CHAR(10), H1,H2,CHAR(10), I1,I2,CHAR(10), J1,J2,CHAR(10), K1,K2,CHAR(10), L1,L2,CHAR(10), M1,M2,CHAR(10), N1,N2,CHAR(10), O1,O2,CHAR(10), P1,P2,CHAR(10), Q1,Q2,CHAR(10), R1,R2,CHAR(10), S1,S2,CHAR(10), U1,U2,CHAR(10), V1,V2,CHAR(10), W1,W2,CHAR(10), X1,X2,CHAR(10), Y1,Y2,CHAR(10), Z1,Z2,CHAR(10), AA1,AA2,CHAR(10), AB1,AB2,CHAR(10), AC1,AC2,CHAR(10), AD1,AD2,CHAR(10), AE1,AE2,CHAR(10), AF1,AF2,CHAR(10), AG1,AG2,CHAR(10), AH1,AH2,CHAR(10), AI1,AI2,CHAR(10), AJ1,AJ2,CHAR(10), AK1,AK2,CHAR(10), AL1,AL2,CHAR(10), AM1,AM2,CHAR(10), AN1,AN2,CHAR(10), AO1,AO2,CHAR(10),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радиоканалов:720-820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радиоканалов:2
Количество перестраиваемых радиоканалов:
Соотношение сигнал/шум:≥ 90 dB
Пиковая девиация: ±48 KHz
Тип микрофонного капсюля:динамический
Тип микрофонного капсула (гарнитура петличка):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передатчика:420х220х45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приёмника:1750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2" s="146">
        <v>8900</v>
      </c>
      <c r="AR2" s="72" t="s">
        <v>1827</v>
      </c>
      <c r="AS2" s="72" t="str">
        <f>CONCATENATE(BB2," ",B2," ",C2)</f>
        <v>Радиосистема  MCF ML-22 2</v>
      </c>
      <c r="AT2" s="72" t="str">
        <f>AS2</f>
        <v>Радиосистема  MCF ML-22 2</v>
      </c>
      <c r="AU2" s="72" t="s">
        <v>1840</v>
      </c>
      <c r="AV2" s="72"/>
      <c r="AW2" s="72" t="s">
        <v>1837</v>
      </c>
      <c r="AX2" s="72" t="s">
        <v>1841</v>
      </c>
      <c r="AY2" s="72" t="s">
        <v>1842</v>
      </c>
      <c r="AZ2" s="72" t="s">
        <v>1843</v>
      </c>
      <c r="BA2" s="72" t="s">
        <v>1844</v>
      </c>
      <c r="BB2" s="72" t="s">
        <v>1951</v>
      </c>
    </row>
    <row r="3" spans="1:54" ht="248.25" customHeight="1" x14ac:dyDescent="0.25">
      <c r="A3" s="89">
        <v>2</v>
      </c>
      <c r="B3" s="92" t="s">
        <v>1545</v>
      </c>
      <c r="C3" s="2" t="s">
        <v>1650</v>
      </c>
      <c r="D3" s="2"/>
      <c r="E3" s="2"/>
      <c r="F3" s="2"/>
      <c r="G3" s="98" t="s">
        <v>1547</v>
      </c>
      <c r="I3" s="90" t="s">
        <v>1513</v>
      </c>
      <c r="J3" s="90" t="s">
        <v>1515</v>
      </c>
      <c r="K3" s="90">
        <v>2</v>
      </c>
      <c r="L3" s="90"/>
      <c r="M3" s="90" t="s">
        <v>1548</v>
      </c>
      <c r="N3" s="90" t="s">
        <v>1549</v>
      </c>
      <c r="O3" s="90" t="s">
        <v>1522</v>
      </c>
      <c r="P3" s="90"/>
      <c r="Q3" s="90" t="s">
        <v>1524</v>
      </c>
      <c r="R3" s="90"/>
      <c r="S3" s="90"/>
      <c r="T3" s="90" t="s">
        <v>1550</v>
      </c>
      <c r="U3" s="90" t="s">
        <v>1551</v>
      </c>
      <c r="V3" s="90" t="s">
        <v>1530</v>
      </c>
      <c r="W3" s="90" t="s">
        <v>1532</v>
      </c>
      <c r="X3" s="90" t="s">
        <v>1534</v>
      </c>
      <c r="Y3" s="90" t="s">
        <v>1536</v>
      </c>
      <c r="Z3" s="90" t="s">
        <v>1538</v>
      </c>
      <c r="AA3" s="90"/>
      <c r="AB3" s="90" t="s">
        <v>1540</v>
      </c>
      <c r="AC3" s="90"/>
      <c r="AD3" s="90"/>
      <c r="AE3" s="90" t="s">
        <v>1553</v>
      </c>
      <c r="AF3" s="90" t="s">
        <v>1554</v>
      </c>
      <c r="AG3" s="90"/>
      <c r="AH3" s="90" t="s">
        <v>1544</v>
      </c>
      <c r="AI3" s="90"/>
      <c r="AJ3" s="90"/>
      <c r="AK3" s="90" t="s">
        <v>1556</v>
      </c>
      <c r="AL3" s="90" t="s">
        <v>1558</v>
      </c>
      <c r="AM3" s="90"/>
      <c r="AN3" s="90"/>
      <c r="AO3" s="90"/>
      <c r="AP3" s="90" t="str">
        <f>CONCATENATE( C1,C3,CHAR(10), D1,D3,CHAR(10), E1,E3,CHAR(10), F1,F3,CHAR(10), G1,G3,CHAR(10), H1,H3,CHAR(10), I1,I3,CHAR(10), J1,J3,CHAR(10), K1,K3,CHAR(10), L1,L3,CHAR(10), M1,M3,CHAR(10), N1,N3,CHAR(10), O1,O3,CHAR(10), P1,P3,CHAR(10), Q1,Q3,CHAR(10), R1,R3,CHAR(10), S1,S3,CHAR(10), U1,U3,CHAR(10), V1,V3,CHAR(10), W1,W3,CHAR(10), X1,X3,CHAR(10), Y1,Y3,CHAR(10), Z1,Z3,CHAR(10), AA1,AA3,CHAR(10), AB1,AB3,CHAR(10), AC1,AC3,CHAR(10), AD1,AD3,CHAR(10), AE1,AE3,CHAR(10), AF1,AF3,CHAR(10), AG1,AG3,CHAR(10), AH1,AH3,CHAR(10), AI1,AI3,CHAR(10), AJ1,AJ3,CHAR(10), AK1,AK3,CHAR(10), AL1,AL3,CHAR(10), AM1,AM3,CHAR(10), AN1,AN3,CHAR(10), AO1,AO3,CHAR(10),  )</f>
        <v xml:space="preserve">Количество ручных микрофонов в комплекте:ручные (MCF U-3400) -2; петлички (MCF U-3400-P) - 2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радиоканалов:620-760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радиоканалов:2
Количество перестраиваемых радиоканалов:
Соотношение сигнал/шум:-105 dB
Пиковая девиация: ±25 KHz
Тип микрофонного капсюля:динамический
Тип микрофонного капсула (гарнитура петличка):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передатчика:420х220х45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приёмника:650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петлички:75 гр.
Вес гарнитуры: 10 гр.
Вес гарнитурного микрофона:
Описание
Тип крепления:
</v>
      </c>
      <c r="AQ3" s="146">
        <v>4900</v>
      </c>
      <c r="AR3" s="72" t="s">
        <v>1827</v>
      </c>
      <c r="AS3" s="72" t="str">
        <f t="shared" ref="AS3:AS25" si="0">CONCATENATE(BB3," ",B3," ",C3)</f>
        <v>Радиосистема  MCF U-3400 /  ручные (MCF U-3400) -2; петлички (MCF U-3400-P) - 2</v>
      </c>
      <c r="AT3" s="72" t="str">
        <f t="shared" ref="AT3:AT25" si="1">AS3</f>
        <v>Радиосистема  MCF U-3400 /  ручные (MCF U-3400) -2; петлички (MCF U-3400-P) - 2</v>
      </c>
      <c r="AU3" s="72" t="s">
        <v>1840</v>
      </c>
      <c r="AV3" s="15"/>
      <c r="AW3" s="72" t="s">
        <v>1837</v>
      </c>
      <c r="AX3" s="72" t="s">
        <v>1841</v>
      </c>
      <c r="AY3" s="72" t="s">
        <v>1842</v>
      </c>
      <c r="AZ3" s="72" t="s">
        <v>1843</v>
      </c>
      <c r="BA3" s="72" t="s">
        <v>1844</v>
      </c>
      <c r="BB3" s="72" t="s">
        <v>1951</v>
      </c>
    </row>
    <row r="4" spans="1:54" ht="248.25" customHeight="1" x14ac:dyDescent="0.25">
      <c r="A4" s="89">
        <v>3</v>
      </c>
      <c r="B4" s="92" t="s">
        <v>1546</v>
      </c>
      <c r="C4" s="2" t="s">
        <v>1650</v>
      </c>
      <c r="D4" s="2"/>
      <c r="E4" s="2"/>
      <c r="F4" s="2"/>
      <c r="G4" s="98" t="s">
        <v>1547</v>
      </c>
      <c r="I4" s="90" t="s">
        <v>1513</v>
      </c>
      <c r="J4" s="90" t="s">
        <v>1515</v>
      </c>
      <c r="K4" s="90">
        <v>2</v>
      </c>
      <c r="L4" s="90"/>
      <c r="M4" s="90" t="s">
        <v>1548</v>
      </c>
      <c r="N4" s="90" t="s">
        <v>1549</v>
      </c>
      <c r="O4" s="90" t="s">
        <v>1522</v>
      </c>
      <c r="P4" s="90"/>
      <c r="Q4" s="90" t="s">
        <v>1524</v>
      </c>
      <c r="R4" s="90"/>
      <c r="S4" s="90"/>
      <c r="T4" s="90" t="s">
        <v>1550</v>
      </c>
      <c r="U4" s="90" t="s">
        <v>1551</v>
      </c>
      <c r="V4" s="90" t="s">
        <v>1530</v>
      </c>
      <c r="W4" s="90" t="s">
        <v>1532</v>
      </c>
      <c r="X4" s="90" t="s">
        <v>1534</v>
      </c>
      <c r="Y4" s="90" t="s">
        <v>1536</v>
      </c>
      <c r="Z4" s="90" t="s">
        <v>1538</v>
      </c>
      <c r="AA4" s="90"/>
      <c r="AB4" s="90" t="s">
        <v>1540</v>
      </c>
      <c r="AC4" s="90"/>
      <c r="AD4" s="90"/>
      <c r="AE4" s="90" t="s">
        <v>1553</v>
      </c>
      <c r="AF4" s="90" t="s">
        <v>1554</v>
      </c>
      <c r="AG4" s="90"/>
      <c r="AH4" s="90" t="s">
        <v>1544</v>
      </c>
      <c r="AI4" s="90"/>
      <c r="AJ4" s="90"/>
      <c r="AK4" s="90" t="s">
        <v>1556</v>
      </c>
      <c r="AL4" s="90" t="s">
        <v>1558</v>
      </c>
      <c r="AM4" s="90"/>
      <c r="AN4" s="90"/>
      <c r="AO4" s="90"/>
      <c r="AP4" s="90" t="str">
        <f>CONCATENATE( C1,C4,CHAR(10), D1,D4,CHAR(10), E1,E4,CHAR(10), F1,F4,CHAR(10), G1,G4,CHAR(10), H1,H4,CHAR(10), I1,I4,CHAR(10), J1,J4,CHAR(10), K1,K4,CHAR(10), L1,L4,CHAR(10), M1,M4,CHAR(10), N1,N4,CHAR(10), O1,O4,CHAR(10), P1,P4,CHAR(10), Q1,Q4,CHAR(10), R1,R4,CHAR(10), S1,S4,CHAR(10), U1,U4,CHAR(10), V1,V4,CHAR(10), W1,W4,CHAR(10), X1,X4,CHAR(10), Y1,Y4,CHAR(10), Z1,Z4,CHAR(10), AA1,AA4,CHAR(10), AB1,AB4,CHAR(10), AC1,AC4,CHAR(10), AD1,AD4,CHAR(10), AE1,AE4,CHAR(10), AF1,AF4,CHAR(10), AG1,AG4,CHAR(10), AH1,AH4,CHAR(10), AI1,AI4,CHAR(10), AJ1,AJ4,CHAR(10), AK1,AK4,CHAR(10), AL1,AL4,CHAR(10), AM1,AM4,CHAR(10), AN1,AN4,CHAR(10), AO1,AO4,CHAR(10),  )</f>
        <v xml:space="preserve">Количество ручных микрофонов в комплекте:ручные (MCF U-3400) -2; петлички (MCF U-3400-P) - 2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радиоканалов:620-760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радиоканалов:2
Количество перестраиваемых радиоканалов:
Соотношение сигнал/шум:-105 dB
Пиковая девиация: ±25 KHz
Тип микрофонного капсюля:динамический
Тип микрофонного капсула (гарнитура петличка):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передатчика:420х220х45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приёмника:650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петлички:75 гр.
Вес гарнитуры: 10 гр.
Вес гарнитурного микрофона:
Описание
Тип крепления:
</v>
      </c>
      <c r="AQ4" s="146">
        <v>4900</v>
      </c>
      <c r="AR4" s="72" t="s">
        <v>1827</v>
      </c>
      <c r="AS4" s="72" t="str">
        <f t="shared" si="0"/>
        <v>Радиосистема  MCF U-3400-P ручные (MCF U-3400) -2; петлички (MCF U-3400-P) - 2</v>
      </c>
      <c r="AT4" s="72" t="str">
        <f t="shared" si="1"/>
        <v>Радиосистема  MCF U-3400-P ручные (MCF U-3400) -2; петлички (MCF U-3400-P) - 2</v>
      </c>
      <c r="AU4" s="72" t="s">
        <v>1840</v>
      </c>
      <c r="AV4" s="15"/>
      <c r="AW4" s="72" t="s">
        <v>1837</v>
      </c>
      <c r="AX4" s="72" t="s">
        <v>1841</v>
      </c>
      <c r="AY4" s="72" t="s">
        <v>1842</v>
      </c>
      <c r="AZ4" s="72" t="s">
        <v>1843</v>
      </c>
      <c r="BA4" s="72" t="s">
        <v>1844</v>
      </c>
      <c r="BB4" s="72" t="s">
        <v>1951</v>
      </c>
    </row>
    <row r="5" spans="1:54" ht="248.25" customHeight="1" x14ac:dyDescent="0.25">
      <c r="A5" s="89">
        <v>4</v>
      </c>
      <c r="B5" s="89" t="s">
        <v>1559</v>
      </c>
      <c r="C5" s="90">
        <v>2</v>
      </c>
      <c r="D5" s="90"/>
      <c r="E5" s="90"/>
      <c r="F5" s="90"/>
      <c r="G5" s="98" t="s">
        <v>1547</v>
      </c>
      <c r="I5" s="90" t="s">
        <v>1513</v>
      </c>
      <c r="J5" s="90" t="s">
        <v>1515</v>
      </c>
      <c r="K5" s="90">
        <v>2</v>
      </c>
      <c r="L5" s="90"/>
      <c r="M5" s="90" t="s">
        <v>1560</v>
      </c>
      <c r="N5" s="90" t="s">
        <v>1549</v>
      </c>
      <c r="O5" s="90" t="s">
        <v>1522</v>
      </c>
      <c r="P5" s="90"/>
      <c r="Q5" s="90" t="s">
        <v>1561</v>
      </c>
      <c r="R5" s="90"/>
      <c r="S5" s="90"/>
      <c r="T5" s="90" t="s">
        <v>1526</v>
      </c>
      <c r="V5" s="90" t="s">
        <v>1530</v>
      </c>
      <c r="W5" s="90" t="s">
        <v>1532</v>
      </c>
      <c r="X5" s="90" t="s">
        <v>1534</v>
      </c>
      <c r="Y5" s="90" t="s">
        <v>1536</v>
      </c>
      <c r="Z5" s="90" t="s">
        <v>1538</v>
      </c>
      <c r="AA5" s="90"/>
      <c r="AB5" s="90" t="s">
        <v>1540</v>
      </c>
      <c r="AC5" s="90"/>
      <c r="AD5" s="90"/>
      <c r="AF5" s="90" t="s">
        <v>1554</v>
      </c>
      <c r="AG5" s="90"/>
      <c r="AH5" s="90" t="s">
        <v>1544</v>
      </c>
      <c r="AI5" s="90"/>
      <c r="AJ5" s="90"/>
      <c r="AP5" s="98" t="str">
        <f>CONCATENATE( C1,C5,CHAR(10), D1,D5,CHAR(10), E1,E5,CHAR(10), F1,F5,CHAR(10), G1,G5,CHAR(10), H1,H5,CHAR(10), I1,I5,CHAR(10), J1,J5,CHAR(10), K1,K5,CHAR(10), L1,L5,CHAR(10), M1,M5,CHAR(10), N1,N5,CHAR(10), O1,O5,CHAR(10), P1,P5,CHAR(10), Q1,Q5,CHAR(10), R1,R5,CHAR(10), S1,S5,CHAR(10), U1,U5,CHAR(10), V1,V5,CHAR(10), W1,W5,CHAR(10), X1,X5,CHAR(10), Y1,Y5,CHAR(10), Z1,Z5,CHAR(10), AA1,AA5,CHAR(10), AB1,AB5,CHAR(10), AC1,AC5,CHAR(10), AD1,AD5,CHAR(10), AE1,AE5,CHAR(10), AF1,AF5,CHAR(10), AG1,AG5,CHAR(10), AH1,AH5,CHAR(10), AI1,AI5,CHAR(10), AJ1,AJ5,CHAR(10), AK1,AK5,CHAR(10), AL1,AL5,CHAR(10), AM1,AM5,CHAR(10), AN1,AN5,CHAR(10), AO1,AO5,CHAR(10),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радиоканалов:620-760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радиоканалов:2
Количество перестраиваемых радиоканалов:
Соотношение сигнал/шум:-95 dB
Пиковая девиация: ±25 KHz
Тип микрофонного капсюля:динамический
Тип микрофонного капсула (гарнитура петличка):
Частотный диапазон микрофонного капсюля:50-16000 Hz
Частотный диапазон микрофонного передатчика:
Частотный диапазон поясного передатчика:
Способ отображения информации на базе: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передатчика:420х220х45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приёмника:650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5" s="146">
        <v>4900</v>
      </c>
      <c r="AR5" s="72" t="s">
        <v>1827</v>
      </c>
      <c r="AS5" s="72" t="str">
        <f t="shared" si="0"/>
        <v>Радиосистема  CF U-3500 2</v>
      </c>
      <c r="AT5" s="72" t="str">
        <f t="shared" si="1"/>
        <v>Радиосистема  CF U-3500 2</v>
      </c>
      <c r="AU5" s="72" t="s">
        <v>1840</v>
      </c>
      <c r="AV5" s="15"/>
      <c r="AW5" s="72" t="s">
        <v>1837</v>
      </c>
      <c r="AX5" s="72" t="s">
        <v>1841</v>
      </c>
      <c r="AY5" s="72" t="s">
        <v>1842</v>
      </c>
      <c r="AZ5" s="72" t="s">
        <v>1843</v>
      </c>
      <c r="BA5" s="72" t="s">
        <v>1844</v>
      </c>
      <c r="BB5" s="72" t="s">
        <v>1951</v>
      </c>
    </row>
    <row r="6" spans="1:54" ht="248.25" customHeight="1" x14ac:dyDescent="0.25">
      <c r="A6" s="89">
        <v>5</v>
      </c>
      <c r="B6" s="92" t="s">
        <v>1562</v>
      </c>
      <c r="C6" s="90">
        <v>2</v>
      </c>
      <c r="D6" s="90"/>
      <c r="E6" s="90" t="s">
        <v>1565</v>
      </c>
      <c r="F6" s="90"/>
      <c r="H6" s="90" t="s">
        <v>1567</v>
      </c>
      <c r="I6" s="90" t="s">
        <v>1513</v>
      </c>
      <c r="J6" s="90" t="s">
        <v>1515</v>
      </c>
      <c r="L6" s="90">
        <v>2</v>
      </c>
      <c r="M6" s="90" t="s">
        <v>1548</v>
      </c>
      <c r="N6" s="90" t="s">
        <v>1549</v>
      </c>
      <c r="O6" s="90" t="s">
        <v>1522</v>
      </c>
      <c r="P6" s="90" t="s">
        <v>1570</v>
      </c>
      <c r="Q6" s="90" t="s">
        <v>1571</v>
      </c>
      <c r="R6" s="90"/>
      <c r="S6" s="90"/>
      <c r="T6" s="90" t="s">
        <v>1526</v>
      </c>
      <c r="U6" s="90" t="s">
        <v>1528</v>
      </c>
      <c r="V6" s="90" t="s">
        <v>1530</v>
      </c>
      <c r="W6" s="90" t="s">
        <v>1532</v>
      </c>
      <c r="X6" s="90" t="s">
        <v>1534</v>
      </c>
      <c r="Y6" s="90" t="s">
        <v>1536</v>
      </c>
      <c r="Z6" s="90" t="s">
        <v>1574</v>
      </c>
      <c r="AA6" s="90"/>
      <c r="AB6" s="90" t="s">
        <v>1540</v>
      </c>
      <c r="AC6" s="90"/>
      <c r="AD6" s="90"/>
      <c r="AE6" s="90" t="s">
        <v>1553</v>
      </c>
      <c r="AF6" s="90" t="s">
        <v>1575</v>
      </c>
      <c r="AG6" s="90"/>
      <c r="AH6" s="90" t="s">
        <v>1544</v>
      </c>
      <c r="AI6" s="90"/>
      <c r="AJ6" s="90"/>
      <c r="AK6" s="90" t="s">
        <v>1556</v>
      </c>
      <c r="AL6" s="90" t="s">
        <v>1655</v>
      </c>
      <c r="AM6" s="90"/>
      <c r="AN6" s="127" t="s">
        <v>1653</v>
      </c>
      <c r="AO6" s="90" t="s">
        <v>1573</v>
      </c>
      <c r="AP6" s="90" t="str">
        <f>CONCATENATE( C1,C6,CHAR(10), D1,D6,CHAR(10), E1,E6,CHAR(10), F1,F6,CHAR(10), G1,G6,CHAR(10), H1,H6,CHAR(10), I1,I6,CHAR(10), J1,J6,CHAR(10), K1,K6,CHAR(10), L1,L6,CHAR(10), M1,M6,CHAR(10), N1,N6,CHAR(10), O1,O6,CHAR(10), P1,P6,CHAR(10), Q1,Q6,CHAR(10), R1,R6,CHAR(10), S1,S6,CHAR(10), U1,U6,CHAR(10), V1,V6,CHAR(10), W1,W6,CHAR(10), X1,X6,CHAR(10), Y1,Y6,CHAR(10), Z1,Z6,CHAR(10), AA1,AA6,CHAR(10), AB1,AB6,CHAR(10), AC1,AC6,CHAR(10), AD1,AD6,CHAR(10), AE1,AE6,CHAR(10), AF1,AF6,CHAR(10), AG1,AG6,CHAR(10), AH1,AH6,CHAR(10), AI1,AI6,CHAR(10), AJ1,AJ6,CHAR(10), AK1,AK6,CHAR(10), AL1,AL6,CHAR(10), AM1,AM6,CHAR(10), AN1,AN6,CHAR(10), AO1,AO6,CHAR(10),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антенн:4 (2 антенны на один приемник)
Кол-во капсюлей
Диапазон фиксируемых частот радиоканалов:
Диапазон перенастраиваемых частот радиоканалов:720-840 MHz
Стабильность частоты радиоканала:±0.005%
Мощность передатчика:10 мВт
Количество фиксированых радиоканалов:
Количество перестраиваемых радиоканалов:2
Соотношение сигнал/шум:-105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капсюля:40-18000 Hz
Частотный диапазон микрофонного передатчика:
Частотный диапазон поясного передатчика:
Способ отображения информации на базе:LCD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приёмника:900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петлички:75 гр.
Вес гарнитуры: 10 гр. (телесный цвет), 4 гр.(черный цвет)
Вес гарнитурного микрофона:
Описаниепрофессиональная диверситивная вокальная радиосистема UHF диапазона с двумя (на выбор ручными микрофонными радиопередатчиками или головные микрофоны), Автоматический поиск свободного радиоканала, Настройка частоты передатчика по инфракрасному каналу
Тип крепления:рэк исполнение
</v>
      </c>
      <c r="AQ6" s="146">
        <v>24900</v>
      </c>
      <c r="AR6" s="72" t="s">
        <v>1827</v>
      </c>
      <c r="AS6" s="72" t="str">
        <f t="shared" si="0"/>
        <v>Радиосистема  MCF U-99 /  2</v>
      </c>
      <c r="AT6" s="72" t="str">
        <f t="shared" si="1"/>
        <v>Радиосистема  MCF U-99 /  2</v>
      </c>
      <c r="AU6" s="72" t="s">
        <v>1840</v>
      </c>
      <c r="AV6" s="15"/>
      <c r="AW6" s="72" t="s">
        <v>1837</v>
      </c>
      <c r="AX6" s="72" t="s">
        <v>1841</v>
      </c>
      <c r="AY6" s="72" t="s">
        <v>1842</v>
      </c>
      <c r="AZ6" s="72" t="s">
        <v>1843</v>
      </c>
      <c r="BA6" s="72" t="s">
        <v>1844</v>
      </c>
      <c r="BB6" s="72" t="s">
        <v>1951</v>
      </c>
    </row>
    <row r="7" spans="1:54" ht="248.25" customHeight="1" x14ac:dyDescent="0.25">
      <c r="A7" s="89">
        <v>6</v>
      </c>
      <c r="B7" s="92" t="s">
        <v>1563</v>
      </c>
      <c r="C7" s="90">
        <v>2</v>
      </c>
      <c r="D7" s="90"/>
      <c r="E7" s="90" t="s">
        <v>1565</v>
      </c>
      <c r="F7" s="90"/>
      <c r="H7" s="90" t="s">
        <v>1567</v>
      </c>
      <c r="I7" s="90" t="s">
        <v>1513</v>
      </c>
      <c r="J7" s="90" t="s">
        <v>1515</v>
      </c>
      <c r="L7" s="90">
        <v>2</v>
      </c>
      <c r="M7" s="90" t="s">
        <v>1548</v>
      </c>
      <c r="N7" s="90" t="s">
        <v>1549</v>
      </c>
      <c r="O7" s="90" t="s">
        <v>1522</v>
      </c>
      <c r="P7" s="90" t="s">
        <v>1570</v>
      </c>
      <c r="Q7" s="90" t="s">
        <v>1571</v>
      </c>
      <c r="R7" s="90"/>
      <c r="S7" s="90"/>
      <c r="T7" s="90" t="s">
        <v>1526</v>
      </c>
      <c r="U7" s="90" t="s">
        <v>1528</v>
      </c>
      <c r="V7" s="90" t="s">
        <v>1530</v>
      </c>
      <c r="W7" s="90" t="s">
        <v>1532</v>
      </c>
      <c r="X7" s="90" t="s">
        <v>1534</v>
      </c>
      <c r="Y7" s="90" t="s">
        <v>1536</v>
      </c>
      <c r="Z7" s="90" t="s">
        <v>1574</v>
      </c>
      <c r="AA7" s="90"/>
      <c r="AB7" s="90" t="s">
        <v>1540</v>
      </c>
      <c r="AC7" s="90"/>
      <c r="AD7" s="90"/>
      <c r="AE7" s="90" t="s">
        <v>1553</v>
      </c>
      <c r="AF7" s="90" t="s">
        <v>1575</v>
      </c>
      <c r="AG7" s="90"/>
      <c r="AH7" s="90" t="s">
        <v>1544</v>
      </c>
      <c r="AI7" s="90"/>
      <c r="AJ7" s="90"/>
      <c r="AK7" s="90" t="s">
        <v>1556</v>
      </c>
      <c r="AL7" s="90" t="s">
        <v>1655</v>
      </c>
      <c r="AM7" s="90"/>
      <c r="AN7" s="127" t="s">
        <v>1653</v>
      </c>
      <c r="AO7" s="90" t="s">
        <v>1573</v>
      </c>
      <c r="AP7" s="90" t="str">
        <f>CONCATENATE( C1,C7,CHAR(10), D1,D7,CHAR(10), E1,E7,CHAR(10), F1,F7,CHAR(10), G1,G7,CHAR(10), H1,H7,CHAR(10), I1,I7,CHAR(10), J1,J7,CHAR(10), K1,K7,CHAR(10), L1,L7,CHAR(10), M1,M7,CHAR(10), N1,N7,CHAR(10), O1,O7,CHAR(10), P1,P7,CHAR(10), Q1,Q7,CHAR(10), R1,R7,CHAR(10), S1,S7,CHAR(10), U1,U7,CHAR(10), V1,V7,CHAR(10), W1,W7,CHAR(10), X1,X7,CHAR(10), Y1,Y7,CHAR(10), Z1,Z7,CHAR(10), AA1,AA7,CHAR(10), AB1,AB7,CHAR(10), AC1,AC7,CHAR(10), AD1,AD7,CHAR(10), AE1,AE7,CHAR(10), AF1,AF7,CHAR(10), AG1,AG7,CHAR(10), AH1,AH7,CHAR(10), AI1,AI7,CHAR(10), AJ1,AJ7,CHAR(10), AK1,AK7,CHAR(10), AL1,AL7,CHAR(10), AM1,AM7,CHAR(10), AN1,AN7,CHAR(10), AO1,AO7,CHAR(10),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антенн:4 (2 антенны на один приемник)
Кол-во капсюлей
Диапазон фиксируемых частот радиоканалов:
Диапазон перенастраиваемых частот радиоканалов:720-840 MHz
Стабильность частоты радиоканала:±0.005%
Мощность передатчика:10 мВт
Количество фиксированых радиоканалов:
Количество перестраиваемых радиоканалов:2
Соотношение сигнал/шум:-105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капсюля:40-18000 Hz
Частотный диапазон микрофонного передатчика:
Частотный диапазон поясного передатчика:
Способ отображения информации на базе:LCD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приёмника:900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петлички:75 гр.
Вес гарнитуры: 10 гр. (телесный цвет), 4 гр.(черный цвет)
Вес гарнитурного микрофона:
Описаниепрофессиональная диверситивная вокальная радиосистема UHF диапазона с двумя (на выбор ручными микрофонными радиопередатчиками или головные микрофоны), Автоматический поиск свободного радиоканала, Настройка частоты передатчика по инфракрасному каналу
Тип крепления:рэк исполнение
</v>
      </c>
      <c r="AQ7" s="146">
        <v>24900</v>
      </c>
      <c r="AR7" s="72" t="s">
        <v>1827</v>
      </c>
      <c r="AS7" s="72" t="str">
        <f t="shared" si="0"/>
        <v>Радиосистема  MCF U-99-P 2</v>
      </c>
      <c r="AT7" s="72" t="str">
        <f t="shared" si="1"/>
        <v>Радиосистема  MCF U-99-P 2</v>
      </c>
      <c r="AU7" s="72" t="s">
        <v>1840</v>
      </c>
      <c r="AV7" s="15"/>
      <c r="AW7" s="72" t="s">
        <v>1837</v>
      </c>
      <c r="AX7" s="72" t="s">
        <v>1841</v>
      </c>
      <c r="AY7" s="72" t="s">
        <v>1842</v>
      </c>
      <c r="AZ7" s="72" t="s">
        <v>1843</v>
      </c>
      <c r="BA7" s="72" t="s">
        <v>1844</v>
      </c>
      <c r="BB7" s="72" t="s">
        <v>1951</v>
      </c>
    </row>
    <row r="8" spans="1:54" ht="248.25" customHeight="1" x14ac:dyDescent="0.25">
      <c r="A8" s="89">
        <v>7</v>
      </c>
      <c r="B8" s="89" t="s">
        <v>1577</v>
      </c>
      <c r="C8" s="90">
        <v>2</v>
      </c>
      <c r="D8" s="90"/>
      <c r="E8" s="90">
        <v>2</v>
      </c>
      <c r="F8" s="90"/>
      <c r="H8" s="90" t="s">
        <v>1578</v>
      </c>
      <c r="I8" s="90" t="s">
        <v>1579</v>
      </c>
      <c r="J8" s="90" t="s">
        <v>1515</v>
      </c>
      <c r="K8" s="90" t="s">
        <v>1580</v>
      </c>
      <c r="M8" s="90" t="s">
        <v>1581</v>
      </c>
      <c r="N8" s="90" t="s">
        <v>1582</v>
      </c>
      <c r="O8" s="90" t="s">
        <v>1522</v>
      </c>
      <c r="Q8" s="90" t="s">
        <v>1583</v>
      </c>
      <c r="R8" s="90"/>
      <c r="S8" s="90"/>
      <c r="T8" s="90" t="s">
        <v>1550</v>
      </c>
      <c r="U8" s="90" t="s">
        <v>1586</v>
      </c>
      <c r="V8" s="90" t="s">
        <v>1530</v>
      </c>
      <c r="W8" s="90" t="s">
        <v>1532</v>
      </c>
      <c r="X8" s="90" t="s">
        <v>1534</v>
      </c>
      <c r="Y8" s="90" t="s">
        <v>1536</v>
      </c>
      <c r="Z8" s="90" t="s">
        <v>1656</v>
      </c>
      <c r="AA8" s="90"/>
      <c r="AB8" s="90" t="s">
        <v>1540</v>
      </c>
      <c r="AC8" s="90"/>
      <c r="AD8" s="90"/>
      <c r="AF8" s="90" t="s">
        <v>1587</v>
      </c>
      <c r="AG8" s="90"/>
      <c r="AH8" s="90" t="s">
        <v>1544</v>
      </c>
      <c r="AI8" s="90"/>
      <c r="AJ8" s="90"/>
      <c r="AP8" s="98" t="str">
        <f>CONCATENATE( C1,C8,CHAR(10), D1,D8,CHAR(10), E1,E8,CHAR(10), F1,F8,CHAR(10), G1,G8,CHAR(10), H1,H8,CHAR(10), I1,I8,CHAR(10), J1,J8,CHAR(10), K1,K8,CHAR(10), L1,L8,CHAR(10), M1,M8,CHAR(10), N1,N8,CHAR(10), O1,O8,CHAR(10), P1,P8,CHAR(10), Q1,Q8,CHAR(10), R1,R8,CHAR(10), S1,S8,CHAR(10), U1,U8,CHAR(10), V1,V8,CHAR(10), W1,W8,CHAR(10), X1,X8,CHAR(10), Y1,Y8,CHAR(10), Z1,Z8,CHAR(10), AA1,AA8,CHAR(10), AB1,AB8,CHAR(10), AC1,AC8,CHAR(10), AD1,AD8,CHAR(10), AE1,AE8,CHAR(10), AF1,AF8,CHAR(10), AG1,AG8,CHAR(10), AH1,AH8,CHAR(10), AI1,AI8,CHAR(10), AJ1,AJ8,CHAR(10), AK1,AK8,CHAR(10), AL1,AL8,CHAR(10), AM1,AM8,CHAR(10), AN1,AN8,CHAR(10), AO1,AO8,CHAR(10),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радиоканалов:100х2
Количество перестраиваемых радиоканалов:
Соотношение сигнал/шум:&gt;90 dB
Пиковая девиация: ±80 KHz
Тип микрофонного капсюля:динамический
Тип микрофонного капсула (гарнитура петличка):
Частотный диапазон микрофонного капсюля:30Гц-20кГц /±3дБ
Частотный диапазон микрофонного передатчика:
Частотный диапазон поясного передатчика: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передатчика:210х180х45 мм (с учетом выноса антенн и регулятора громкости)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приёмника:880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8" s="146">
        <v>19900</v>
      </c>
      <c r="AR8" s="72" t="s">
        <v>1827</v>
      </c>
      <c r="AS8" s="72" t="str">
        <f t="shared" si="0"/>
        <v>Радиосистема  MCF 2-GF 2</v>
      </c>
      <c r="AT8" s="72" t="str">
        <f t="shared" si="1"/>
        <v>Радиосистема  MCF 2-GF 2</v>
      </c>
      <c r="AU8" s="72" t="s">
        <v>1840</v>
      </c>
      <c r="AV8" s="15"/>
      <c r="AW8" s="72" t="s">
        <v>1837</v>
      </c>
      <c r="AX8" s="72" t="s">
        <v>1841</v>
      </c>
      <c r="AY8" s="72" t="s">
        <v>1842</v>
      </c>
      <c r="AZ8" s="72" t="s">
        <v>1843</v>
      </c>
      <c r="BA8" s="72" t="s">
        <v>1844</v>
      </c>
      <c r="BB8" s="72" t="s">
        <v>1951</v>
      </c>
    </row>
    <row r="9" spans="1:54" ht="248.25" customHeight="1" x14ac:dyDescent="0.25">
      <c r="A9" s="89">
        <v>8</v>
      </c>
      <c r="B9" s="89" t="s">
        <v>1670</v>
      </c>
      <c r="C9" s="90">
        <v>2</v>
      </c>
      <c r="D9" s="90"/>
      <c r="E9" s="90">
        <v>2</v>
      </c>
      <c r="F9" s="90"/>
      <c r="H9" s="90" t="s">
        <v>1578</v>
      </c>
      <c r="I9" s="2" t="s">
        <v>1579</v>
      </c>
      <c r="J9" s="90" t="s">
        <v>1515</v>
      </c>
      <c r="K9" s="90" t="s">
        <v>1580</v>
      </c>
      <c r="M9" s="90" t="s">
        <v>1581</v>
      </c>
      <c r="N9" s="90" t="s">
        <v>1582</v>
      </c>
      <c r="O9" s="90" t="s">
        <v>1588</v>
      </c>
      <c r="Q9" s="90" t="s">
        <v>1589</v>
      </c>
      <c r="R9" s="90"/>
      <c r="S9" s="90" t="s">
        <v>1591</v>
      </c>
      <c r="T9" s="90" t="s">
        <v>1550</v>
      </c>
      <c r="U9" s="90" t="s">
        <v>1586</v>
      </c>
      <c r="V9" s="90" t="s">
        <v>1530</v>
      </c>
      <c r="W9" s="90" t="s">
        <v>1532</v>
      </c>
      <c r="X9" s="90" t="s">
        <v>1534</v>
      </c>
      <c r="Y9" s="90" t="s">
        <v>1536</v>
      </c>
      <c r="Z9" s="90" t="s">
        <v>1657</v>
      </c>
      <c r="AA9" s="90"/>
      <c r="AB9" s="90"/>
      <c r="AC9" s="90"/>
      <c r="AD9" s="90" t="s">
        <v>1594</v>
      </c>
      <c r="AF9" s="90" t="s">
        <v>1587</v>
      </c>
      <c r="AG9" s="90"/>
      <c r="AK9" s="90" t="s">
        <v>1592</v>
      </c>
      <c r="AM9" s="90" t="s">
        <v>1576</v>
      </c>
      <c r="AN9" s="90" t="s">
        <v>1658</v>
      </c>
      <c r="AP9" s="98" t="str">
        <f>CONCATENATE( C1,C9,CHAR(10), D1,D9,CHAR(10), E1,E9,CHAR(10), F1,F9,CHAR(10), G1,G9,CHAR(10), H1,H9,CHAR(10), I1,I9,CHAR(10), J1,J9,CHAR(10), K1,K9,CHAR(10), L1,L9,CHAR(10), M1,M9,CHAR(10), N1,N9,CHAR(10), O1,O9,CHAR(10), P1,P9,CHAR(10), Q1,Q9,CHAR(10), R1,R9,CHAR(10), S1,S9,CHAR(10), U1,U9,CHAR(10), V1,V9,CHAR(10), W1,W9,CHAR(10), X1,X9,CHAR(10), Y1,Y9,CHAR(10), Z1,Z9,CHAR(10), AA1,AA9,CHAR(10), AB1,AB9,CHAR(10), AC1,AC9,CHAR(10), AD1,AD9,CHAR(10), AE1,AE9,CHAR(10), AF1,AF9,CHAR(10), AG1,AG9,CHAR(10), AH1,AH9,CHAR(10), AI1,AI9,CHAR(10), AJ1,AJ9,CHAR(10), AK1,AK9,CHAR(10), AL1,AL9,CHAR(10), AM1,AM9,CHAR(10), AN1,AN9,CHAR(10), AO1,AO9,CHAR(10),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радиоканалов:100х2
Количество перестраиваемых радиоканалов:
Соотношение сигнал/шум:&gt;90 dB
Пиковая девиация: ±80 KHz
Тип микрофонного капсюля:конденсаторный с поясным передатчиком
Тип микрофонного капсула (гарнитура петличка):
Частотный диапазон микрофонного капсюля:(40Гц-18кГц)/ (40Гц-20кГц)
Частотный диапазон микрофонного передатчика:
Частотный диапазон поясного передатчика:30Гц-20кГц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передатчика:65х90х25мм, 210х180х45 мм (с учетом выноса антенн и регулятора громкости)
Размеры ручного передатчика с капсюлем:
Размеры микрофона динамический:
Размеры микрофона конденсаторный:
Вес петличного микрофона:6-10 гр.
Размеры передатчика петлички:
Вес приёмника:880 гр.
Вес радио микрофонного передатчика без капсюля:
Вес передатчика ручного динамического:
Вес передатчика универсального конденсаторного:
Вес капсюля:
Вес передатчика поясного для гарнитуры и петлички:130 гр.
Вес гарнитуры: 
Вес гарнитурного микрофона:4 гр.
ОписаниеЦвет гарнитуры: Телесный, чёрный
Тип крепления:
</v>
      </c>
      <c r="AQ9" s="146">
        <v>19900</v>
      </c>
      <c r="AR9" s="72" t="s">
        <v>1827</v>
      </c>
      <c r="AS9" s="72" t="str">
        <f t="shared" si="0"/>
        <v>Радиосистема  MCF 2-GF-Петлички/Гарнитуры 2</v>
      </c>
      <c r="AT9" s="72" t="str">
        <f t="shared" si="1"/>
        <v>Радиосистема  MCF 2-GF-Петлички/Гарнитуры 2</v>
      </c>
      <c r="AU9" s="72" t="s">
        <v>1840</v>
      </c>
      <c r="AV9" s="15"/>
      <c r="AW9" s="72" t="s">
        <v>1837</v>
      </c>
      <c r="AX9" s="72" t="s">
        <v>1841</v>
      </c>
      <c r="AY9" s="72" t="s">
        <v>1842</v>
      </c>
      <c r="AZ9" s="72" t="s">
        <v>1843</v>
      </c>
      <c r="BA9" s="72" t="s">
        <v>1844</v>
      </c>
      <c r="BB9" s="72" t="s">
        <v>1951</v>
      </c>
    </row>
    <row r="10" spans="1:54" ht="248.25" customHeight="1" x14ac:dyDescent="0.25">
      <c r="A10" s="89">
        <v>9</v>
      </c>
      <c r="B10" s="92" t="s">
        <v>1596</v>
      </c>
      <c r="C10" s="90">
        <v>2</v>
      </c>
      <c r="D10" s="90"/>
      <c r="E10" s="90">
        <v>2</v>
      </c>
      <c r="F10" s="90" t="s">
        <v>1660</v>
      </c>
      <c r="G10" s="90" t="s">
        <v>1578</v>
      </c>
      <c r="H10" s="90"/>
      <c r="I10" s="90" t="s">
        <v>1579</v>
      </c>
      <c r="J10" s="90" t="s">
        <v>1515</v>
      </c>
      <c r="K10" s="90" t="s">
        <v>1597</v>
      </c>
      <c r="M10" s="90" t="s">
        <v>1581</v>
      </c>
      <c r="N10" s="90" t="s">
        <v>1598</v>
      </c>
      <c r="O10" s="90" t="s">
        <v>1522</v>
      </c>
      <c r="Q10" s="90" t="s">
        <v>1583</v>
      </c>
      <c r="R10" s="90" t="s">
        <v>1585</v>
      </c>
      <c r="T10" s="90" t="s">
        <v>1599</v>
      </c>
      <c r="U10" s="90" t="s">
        <v>1551</v>
      </c>
      <c r="V10" s="90" t="s">
        <v>1530</v>
      </c>
      <c r="W10" s="90" t="s">
        <v>1600</v>
      </c>
      <c r="X10" s="90" t="s">
        <v>1534</v>
      </c>
      <c r="Y10" s="90" t="s">
        <v>1536</v>
      </c>
      <c r="Z10" s="90" t="s">
        <v>1661</v>
      </c>
      <c r="AA10" s="90" t="s">
        <v>1602</v>
      </c>
      <c r="AF10" s="90" t="s">
        <v>1587</v>
      </c>
      <c r="AG10" s="90" t="s">
        <v>1604</v>
      </c>
      <c r="AJ10" s="90" t="s">
        <v>1606</v>
      </c>
      <c r="AP10" s="98" t="str">
        <f>CONCATENATE( C1,C10,CHAR(10), D1,D10,CHAR(10), E1,E10,CHAR(10), F1,F10,CHAR(10), G1,G10,CHAR(10), H1,H10,CHAR(10), I1,I10,CHAR(10), J1,J10,CHAR(10), K1,K10,CHAR(10), L1,L10,CHAR(10), M1,M10,CHAR(10), N1,N10,CHAR(10), O1,O10,CHAR(10), P1,P10,CHAR(10), Q1,Q10,CHAR(10), R1,R10,CHAR(10), S1,S10,CHAR(10), U1,U10,CHAR(10), V1,V10,CHAR(10), W1,W10,CHAR(10), X1,X10,CHAR(10), Y1,Y10,CHAR(10), Z1,Z10,CHAR(10), AA1,AA10,CHAR(10), AB1,AB10,CHAR(10), AC1,AC10,CHAR(10), AD1,AD10,CHAR(10), AE1,AE10,CHAR(10), AF1,AF10,CHAR(10), AG1,AG10,CHAR(10), AH1,AH10,CHAR(10), AI1,AI10,CHAR(10), AJ1,AJ10,CHAR(10), AK1,AK10,CHAR(10), AL1,AL10,CHAR(10), AM1,AM10,CHAR(10), AN1,AN10,CHAR(10), AO1,AO10,CHAR(10),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капсюлей2 (кардиоида) или 2 (суперкардиоида)
Диапазон фиксируемых частот радиоканалов:640-857МГц
Диапазон перенастраиваемых частот радиоканалов:
Стабильность частоты радиоканала:±0.0005%
Мощность передатчика:10 мВт
Количество фиксированых радиоканалов:2х100 интервал 25КГц
Количество перестраиваемых радиоканалов:
Соотношение сигнал/шум:&gt;90 dB
Пиковая девиация: ±80кГц
Тип микрофонного капсюля:динамический
Тип микрофонного капсула (гарнитура петличка):
Частотный диапазон микрофонного капсюля:30Гц-20кГц /±3дБ
Частотный диапазон микрофонного передатчика:30Гц-21кГц /±3дБ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батарей:не менее 8 часов
Дальность уверенного приема на открытом пространстве:до 100 м
Диапазон эксплуатационных температур:от -10 до +40 С°
Размеры радио передатчика:210 х 44 х 180 (с учетом выноса под антенны и регуляторы громкости)
Размеры ручного передатчика с капсюлем:53х272х53 мм
Размеры микрофона динамический:
Размеры микрофона конденсаторный:
Вес петличного микрофона:
Размеры передатчика петлички:
Вес приёмника:880 гр.
Вес радио микрофонного передатчика без капсюля:220 гр.
Вес передатчика ручного динамического:
Вес передатчика универсального конденсаторного:
Вес капсюля:210 гр.
Вес передатчика поясного для гарнитуры и петлички:
Вес гарнитуры: 
Вес гарнитурного микрофона:
Описание
Тип крепления:
</v>
      </c>
      <c r="AQ10" s="89" t="s">
        <v>1920</v>
      </c>
      <c r="AR10" s="72" t="s">
        <v>1827</v>
      </c>
      <c r="AS10" s="72" t="str">
        <f t="shared" si="0"/>
        <v>Радиосистема  MCF 2-GF NEXT 2</v>
      </c>
      <c r="AT10" s="72" t="str">
        <f t="shared" si="1"/>
        <v>Радиосистема  MCF 2-GF NEXT 2</v>
      </c>
      <c r="AU10" s="72" t="s">
        <v>1840</v>
      </c>
      <c r="AV10" s="15"/>
      <c r="AW10" s="72" t="s">
        <v>1837</v>
      </c>
      <c r="AX10" s="72" t="s">
        <v>1841</v>
      </c>
      <c r="AY10" s="72" t="s">
        <v>1842</v>
      </c>
      <c r="AZ10" s="72" t="s">
        <v>1843</v>
      </c>
      <c r="BA10" s="72" t="s">
        <v>1844</v>
      </c>
      <c r="BB10" s="72" t="s">
        <v>1951</v>
      </c>
    </row>
    <row r="11" spans="1:54" ht="248.25" customHeight="1" x14ac:dyDescent="0.25">
      <c r="A11" s="89">
        <v>10</v>
      </c>
      <c r="B11" s="89" t="s">
        <v>1607</v>
      </c>
      <c r="C11" s="2"/>
      <c r="D11" s="90">
        <v>2</v>
      </c>
      <c r="E11" s="90">
        <v>2</v>
      </c>
      <c r="F11" s="2"/>
      <c r="H11" s="90"/>
      <c r="I11" s="90" t="s">
        <v>1579</v>
      </c>
      <c r="J11" s="90" t="s">
        <v>1515</v>
      </c>
      <c r="K11" s="90" t="s">
        <v>1597</v>
      </c>
      <c r="L11" s="90" t="s">
        <v>1578</v>
      </c>
      <c r="M11" s="90" t="s">
        <v>1581</v>
      </c>
      <c r="N11" s="90" t="s">
        <v>1598</v>
      </c>
      <c r="O11" s="90" t="s">
        <v>1570</v>
      </c>
      <c r="Q11" s="90" t="s">
        <v>1591</v>
      </c>
      <c r="T11" s="90" t="s">
        <v>1550</v>
      </c>
      <c r="U11" s="90" t="s">
        <v>1586</v>
      </c>
      <c r="V11" s="90" t="s">
        <v>1530</v>
      </c>
      <c r="W11" s="90" t="s">
        <v>1532</v>
      </c>
      <c r="X11" s="90" t="s">
        <v>1534</v>
      </c>
      <c r="Y11" s="90" t="s">
        <v>1536</v>
      </c>
      <c r="Z11" s="90" t="s">
        <v>1609</v>
      </c>
      <c r="AC11" s="90" t="s">
        <v>1611</v>
      </c>
      <c r="AF11" s="90" t="s">
        <v>1587</v>
      </c>
      <c r="AI11" s="90" t="s">
        <v>1613</v>
      </c>
      <c r="AP11" s="98" t="str">
        <f>CONCATENATE( C1,C11,CHAR(10), D1,D11,CHAR(10), E1,E11,CHAR(10), F1,F11,CHAR(10), G1,G11,CHAR(10), H1,H11,CHAR(10), I1,I11,CHAR(10), J1,J11,CHAR(10), K1,K11,CHAR(10), L1,L11,CHAR(10), M1,M11,CHAR(10), N1,N11,CHAR(10), O1,O11,CHAR(10), P1,P11,CHAR(10), Q1,Q11,CHAR(10), R1,R11,CHAR(10), S1,S11,CHAR(10), U1,U11,CHAR(10), V1,V11,CHAR(10), W1,W11,CHAR(10), X1,X11,CHAR(10), Y1,Y11,CHAR(10), Z1,Z11,CHAR(10), AA1,AA11,CHAR(10), AB1,AB11,CHAR(10), AC1,AC11,CHAR(10), AD1,AD11,CHAR(10), AE1,AE11,CHAR(10), AF1,AF11,CHAR(10), AG1,AG11,CHAR(10), AH1,AH11,CHAR(10), AI1,AI11,CHAR(10), AJ1,AJ11,CHAR(10), AK1,AK11,CHAR(10), AL1,AL11,CHAR(10), AM1,AM11,CHAR(10), AN1,AN11,CHAR(10), AO1,AO11,CHAR(10),  )</f>
        <v xml:space="preserve">Количество ручных микрофонов в комплекте:
Количество универсальных микрофонных радиопередатчиков конденсаторного типа:2
Количество антенн:2
Кол-во капсюлей
Диапазон фиксируемых частот радиоканалов:
Диапазон перенастраиваемых частот радиоканалов:
Стабильность частоты радиоканала:±0.0005%
Мощность передатчика:10 мВт
Количество фиксированых радиоканалов:2х100 интервал 25КГц
Количество перестраиваемых радиоканалов:640-857МГц
Соотношение сигнал/шум:&gt;90 dB
Пиковая девиация: ±80кГц
Тип микрофонного капсюля:конденсаторный
Тип микрофонного капсула (гарнитура петличка):
Частотный диапазон микрофонного капсюля:30Гц-20кГц
Частотный диапазон микрофонного передатчика:
Частотный диапазон поясного передатчика: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передатчика:210 х 44 х 180 мм
Размеры ручного передатчика с капсюлем:
Размеры микрофона динамический:
Размеры микрофона конденсаторный:10х155х10 мм
Вес петличного микрофона:
Размеры передатчика петлички:
Вес приёмника:880 гр.
Вес радио микрофонного передатчика без капсюля:
Вес передатчика ручного динамического:
Вес передатчика универсального конденсаторного:100 гр.
Вес капсюля:
Вес передатчика поясного для гарнитуры и петлички:
Вес гарнитуры: 
Вес гарнитурного микрофона:
Описание
Тип крепления:
</v>
      </c>
      <c r="AQ11" s="146">
        <v>19900</v>
      </c>
      <c r="AR11" s="72" t="s">
        <v>1827</v>
      </c>
      <c r="AS11" s="72" t="str">
        <f t="shared" si="0"/>
        <v xml:space="preserve">Радиосистема  MCF 2-GF-Kонденсаторные (универсальные) </v>
      </c>
      <c r="AT11" s="72" t="str">
        <f t="shared" si="1"/>
        <v xml:space="preserve">Радиосистема  MCF 2-GF-Kонденсаторные (универсальные) </v>
      </c>
      <c r="AU11" s="72" t="s">
        <v>1840</v>
      </c>
      <c r="AV11" s="15"/>
      <c r="AW11" s="72" t="s">
        <v>1837</v>
      </c>
      <c r="AX11" s="72" t="s">
        <v>1841</v>
      </c>
      <c r="AY11" s="72" t="s">
        <v>1842</v>
      </c>
      <c r="AZ11" s="72" t="s">
        <v>1843</v>
      </c>
      <c r="BA11" s="72" t="s">
        <v>1844</v>
      </c>
      <c r="BB11" s="72" t="s">
        <v>1951</v>
      </c>
    </row>
    <row r="12" spans="1:54" ht="248.25" customHeight="1" x14ac:dyDescent="0.25">
      <c r="A12" s="89">
        <v>11</v>
      </c>
      <c r="B12" s="89" t="s">
        <v>1614</v>
      </c>
      <c r="C12" s="90">
        <v>2</v>
      </c>
      <c r="D12" s="2"/>
      <c r="E12" s="90">
        <v>2</v>
      </c>
      <c r="F12" s="2"/>
      <c r="H12" s="90" t="s">
        <v>1615</v>
      </c>
      <c r="I12" s="90" t="s">
        <v>1513</v>
      </c>
      <c r="J12" s="90" t="s">
        <v>1515</v>
      </c>
      <c r="L12" s="90" t="s">
        <v>1616</v>
      </c>
      <c r="M12" s="90" t="s">
        <v>1548</v>
      </c>
      <c r="N12" s="90" t="s">
        <v>1549</v>
      </c>
      <c r="O12" s="90" t="s">
        <v>1522</v>
      </c>
      <c r="Q12" s="90" t="s">
        <v>1524</v>
      </c>
      <c r="T12" s="90" t="s">
        <v>1550</v>
      </c>
      <c r="U12" s="90" t="s">
        <v>1551</v>
      </c>
      <c r="V12" s="90" t="s">
        <v>1530</v>
      </c>
      <c r="W12" s="90" t="s">
        <v>1532</v>
      </c>
      <c r="X12" s="90" t="s">
        <v>1534</v>
      </c>
      <c r="Y12" s="90" t="s">
        <v>1536</v>
      </c>
      <c r="Z12" s="90" t="s">
        <v>1617</v>
      </c>
      <c r="AB12" s="90" t="s">
        <v>1540</v>
      </c>
      <c r="AF12" s="90" t="s">
        <v>1618</v>
      </c>
      <c r="AH12" s="90" t="s">
        <v>1544</v>
      </c>
      <c r="AP12" s="98" t="str">
        <f>CONCATENATE( C1,C12,CHAR(10), D1,D12,CHAR(10), E1,E12,CHAR(10), F1,F12,CHAR(10), G1,G12,CHAR(10), H1,H12,CHAR(10), I1,I12,CHAR(10), J1,J12,CHAR(10), K1,K12,CHAR(10), L1,L12,CHAR(10), M1,M12,CHAR(10), N1,N12,CHAR(10), O1,O12,CHAR(10), P1,P12,CHAR(10), Q1,Q12,CHAR(10), R1,R12,CHAR(10), S1,S12,CHAR(10), U1,U12,CHAR(10), V1,V12,CHAR(10), W1,W12,CHAR(10), X1,X12,CHAR(10), Y1,Y12,CHAR(10), Z1,Z12,CHAR(10), AA1,AA12,CHAR(10), AB1,AB12,CHAR(10), AC1,AC12,CHAR(10), AD1,AD12,CHAR(10), AE1,AE12,CHAR(10), AF1,AF12,CHAR(10), AG1,AG12,CHAR(10), AH1,AH12,CHAR(10), AI1,AI12,CHAR(10), AJ1,AJ12,CHAR(10), AK1,AK12,CHAR(10), AL1,AL12,CHAR(10), AM1,AM12,CHAR(10), AN1,AN12,CHAR(10), AO1,AO12,CHAR(10),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
Диапазон перенастраиваемых частот радиоканалов:740-769,5 MHz
Стабильность частоты радиоканала:±0.005%
Мощность передатчика:10 мВт
Количество фиксированых радиоканалов:
Количество перестраиваемых радиоканалов:2, с перенастраиваемой частотой
Соотношение сигнал/шум:-105 dB
Пиковая девиация: ±25 KHz
Тип микрофонного капсюля:динамический
Тип микрофонного капсула (гарнитура петличка):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передатчика:230х160х45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приёмника:890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12" s="89" t="s">
        <v>357</v>
      </c>
      <c r="AR12" s="72" t="s">
        <v>1827</v>
      </c>
      <c r="AS12" s="72" t="str">
        <f t="shared" si="0"/>
        <v>Радиосистема  MCF U-5200 2</v>
      </c>
      <c r="AT12" s="72" t="str">
        <f t="shared" si="1"/>
        <v>Радиосистема  MCF U-5200 2</v>
      </c>
      <c r="AU12" s="72" t="s">
        <v>1840</v>
      </c>
      <c r="AV12" s="15"/>
      <c r="AW12" s="72" t="s">
        <v>1837</v>
      </c>
      <c r="AX12" s="72" t="s">
        <v>1841</v>
      </c>
      <c r="AY12" s="72" t="s">
        <v>1842</v>
      </c>
      <c r="AZ12" s="72" t="s">
        <v>1843</v>
      </c>
      <c r="BA12" s="72" t="s">
        <v>1844</v>
      </c>
      <c r="BB12" s="72" t="s">
        <v>1951</v>
      </c>
    </row>
    <row r="13" spans="1:54" ht="248.25" customHeight="1" x14ac:dyDescent="0.25">
      <c r="A13" s="89">
        <v>12</v>
      </c>
      <c r="B13" s="89" t="s">
        <v>1619</v>
      </c>
      <c r="C13" s="90">
        <v>4</v>
      </c>
      <c r="D13" s="2"/>
      <c r="E13" s="90">
        <v>2</v>
      </c>
      <c r="F13" s="2"/>
      <c r="G13" s="90" t="s">
        <v>1511</v>
      </c>
      <c r="H13" s="90"/>
      <c r="I13" s="90" t="s">
        <v>1513</v>
      </c>
      <c r="J13" s="90" t="s">
        <v>1620</v>
      </c>
      <c r="K13" s="90">
        <v>4</v>
      </c>
      <c r="M13" s="90" t="s">
        <v>1518</v>
      </c>
      <c r="N13" s="90" t="s">
        <v>1520</v>
      </c>
      <c r="O13" s="90" t="s">
        <v>1522</v>
      </c>
      <c r="Q13" s="90" t="s">
        <v>1524</v>
      </c>
      <c r="T13" s="90" t="s">
        <v>1526</v>
      </c>
      <c r="U13" s="90" t="s">
        <v>1586</v>
      </c>
      <c r="V13" s="90" t="s">
        <v>1530</v>
      </c>
      <c r="W13" s="90" t="s">
        <v>1532</v>
      </c>
      <c r="X13" s="90" t="s">
        <v>1534</v>
      </c>
      <c r="Y13" s="90" t="s">
        <v>1536</v>
      </c>
      <c r="Z13" s="90" t="s">
        <v>1671</v>
      </c>
      <c r="AB13" s="90" t="s">
        <v>1540</v>
      </c>
      <c r="AF13" s="90" t="s">
        <v>1542</v>
      </c>
      <c r="AH13" s="90" t="s">
        <v>1544</v>
      </c>
      <c r="AN13" s="54" t="s">
        <v>1652</v>
      </c>
      <c r="AP13" s="98" t="str">
        <f>CONCATENATE( C1,C13,CHAR(10), D1,D13,CHAR(10), E1,E13,CHAR(10), F1,F13,CHAR(10), G1,G13,CHAR(10), H1,H13,CHAR(10), I1,I13,CHAR(10), J1,J13,CHAR(10), K1,K13,CHAR(10), L1,L13,CHAR(10), M1,M13,CHAR(10), N1,N13,CHAR(10), O1,O13,CHAR(10), P1,P13,CHAR(10), Q1,Q13,CHAR(10), R1,R13,CHAR(10), S1,S13,CHAR(10), U1,U13,CHAR(10), V1,V13,CHAR(10), W1,W13,CHAR(10), X1,X13,CHAR(10), Y1,Y13,CHAR(10), Z1,Z13,CHAR(10), AA1,AA13,CHAR(10), AB1,AB13,CHAR(10), AC1,AC13,CHAR(10), AD1,AD13,CHAR(10), AE1,AE13,CHAR(10), AF1,AF13,CHAR(10), AG1,AG13,CHAR(10), AH1,AH13,CHAR(10), AI1,AI13,CHAR(10), AJ1,AJ13,CHAR(10), AK1,AK13,CHAR(10), AL1,AL13,CHAR(10), AM1,AM13,CHAR(10), AN1,AN13,CHAR(10), AO1,AO13,CHAR(10),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радиоканалов:720-820 MHz
Диапазон перенастраиваемых частот радиоканалов:
Стабильность частоты радиоканала:±0.005%
Мощность передатчика:10 mW
Количество фиксированых радиоканалов:4
Количество перестраиваемых радиоканалов:
Соотношение сигнал/шум:≥ 90 dB
Пиковая девиация: ±48 KHz
Тип микрофонного капсюля:динамический
Тип микрофонного капсула (гарнитура петличка):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передатчика:420х220х45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приёмника:1750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ОписаниеАвтоматический поиск свободного радиоканала, Настройка частоты передатчика по инфракрасному каналу
Тип крепления:
</v>
      </c>
      <c r="AQ13" s="146">
        <v>14900</v>
      </c>
      <c r="AR13" s="72" t="s">
        <v>1827</v>
      </c>
      <c r="AS13" s="72" t="str">
        <f t="shared" si="0"/>
        <v>Радиосистема  MCF ML-28 4</v>
      </c>
      <c r="AT13" s="72" t="str">
        <f t="shared" si="1"/>
        <v>Радиосистема  MCF ML-28 4</v>
      </c>
      <c r="AU13" s="72" t="s">
        <v>1840</v>
      </c>
      <c r="AV13" s="15"/>
      <c r="AW13" s="72" t="s">
        <v>1837</v>
      </c>
      <c r="AX13" s="72" t="s">
        <v>1841</v>
      </c>
      <c r="AY13" s="72" t="s">
        <v>1842</v>
      </c>
      <c r="AZ13" s="72" t="s">
        <v>1843</v>
      </c>
      <c r="BA13" s="72" t="s">
        <v>1844</v>
      </c>
      <c r="BB13" s="72" t="s">
        <v>1951</v>
      </c>
    </row>
    <row r="14" spans="1:54" ht="248.25" customHeight="1" x14ac:dyDescent="0.25">
      <c r="A14" s="89">
        <v>13</v>
      </c>
      <c r="B14" s="89" t="s">
        <v>1621</v>
      </c>
      <c r="C14" s="90">
        <v>4</v>
      </c>
      <c r="D14" s="89"/>
      <c r="E14" s="90">
        <v>4</v>
      </c>
      <c r="F14" s="89"/>
      <c r="G14" s="89"/>
      <c r="H14" s="90" t="s">
        <v>1567</v>
      </c>
      <c r="I14" s="90" t="s">
        <v>1513</v>
      </c>
      <c r="J14" s="90" t="s">
        <v>1620</v>
      </c>
      <c r="L14" s="90" t="s">
        <v>1580</v>
      </c>
      <c r="M14" s="90" t="s">
        <v>1622</v>
      </c>
      <c r="N14" s="90" t="s">
        <v>1623</v>
      </c>
      <c r="O14" s="90" t="s">
        <v>1522</v>
      </c>
      <c r="P14" s="90" t="s">
        <v>1570</v>
      </c>
      <c r="Q14" s="90" t="s">
        <v>1571</v>
      </c>
      <c r="T14" s="90" t="s">
        <v>1526</v>
      </c>
      <c r="U14" s="90" t="s">
        <v>1586</v>
      </c>
      <c r="V14" s="90" t="s">
        <v>1530</v>
      </c>
      <c r="W14" s="90" t="s">
        <v>1532</v>
      </c>
      <c r="X14" s="90" t="s">
        <v>1534</v>
      </c>
      <c r="Y14" s="90" t="s">
        <v>1536</v>
      </c>
      <c r="Z14" s="90" t="s">
        <v>1574</v>
      </c>
      <c r="AC14" s="90" t="s">
        <v>1611</v>
      </c>
      <c r="AF14" s="90" t="s">
        <v>1624</v>
      </c>
      <c r="AI14" s="90" t="s">
        <v>1613</v>
      </c>
      <c r="AN14" s="54" t="s">
        <v>1652</v>
      </c>
      <c r="AP14" s="98" t="str">
        <f>CONCATENATE( C1,C14,CHAR(10), D1,D14,CHAR(10), E1,E14,CHAR(10), F1,F14,CHAR(10), G1,G14,CHAR(10), H1,H14,CHAR(10), I1,I14,CHAR(10), J1,J14,CHAR(10), K1,K14,CHAR(10), L1,L14,CHAR(10), M1,M14,CHAR(10), N1,N14,CHAR(10), O1,O14,CHAR(10), P1,P14,CHAR(10), Q1,Q14,CHAR(10), R1,R14,CHAR(10), S1,S14,CHAR(10), U1,U14,CHAR(10), V1,V14,CHAR(10), W1,W14,CHAR(10), X1,X14,CHAR(10), Y1,Y14,CHAR(10), Z1,Z14,CHAR(10), AA1,AA14,CHAR(10), AB1,AB14,CHAR(10), AC1,AC14,CHAR(10), AD1,AD14,CHAR(10), AE1,AE14,CHAR(10), AF1,AF14,CHAR(10), AG1,AG14,CHAR(10), AH1,AH14,CHAR(10), AI1,AI14,CHAR(10), AJ1,AJ14,CHAR(10), AK1,AK14,CHAR(10), AL1,AL14,CHAR(10), AM1,AM14,CHAR(10), AN1,AN14,CHAR(10), AO1,AO14,CHAR(10),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
Диапазон перенастраиваемых частот радиоканалов:720-840 MHz
Стабильность частоты радиоканала:±0.005%
Мощность передатчика:10 mW
Количество фиксированых радиоканалов:
Количество перестраиваемых радиоканалов:100х2
Соотношение сигнал/шум:≥ 85 dB
Пиковая девиация: ±45 KHz
Тип микрофонного капсюля:динамический
Тип микрофонного капсула (гарнитура петличка):конденсаторный
Частотный диапазон микрофонного капсюля:40-18000 Hz
Частотный диапазон микрофонного передатчика:
Частотный диапазон поясного передатчика: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
Размеры микрофона конденсаторный:10х155х10 мм
Вес петличного микрофона:
Размеры передатчика петлички:
Вес приёмника:950 гр.
Вес радио микрофонного передатчика без капсюля:
Вес передатчика ручного динамического:
Вес передатчика универсального конденсаторного:100 гр.
Вес капсюля:
Вес передатчика поясного для гарнитуры и петлички:
Вес гарнитуры: 
Вес гарнитурного микрофона:
ОписаниеАвтоматический поиск свободного радиоканала, Настройка частоты передатчика по инфракрасному каналу
Тип крепления:
</v>
      </c>
      <c r="AQ14" s="146">
        <v>34900</v>
      </c>
      <c r="AR14" s="72" t="s">
        <v>1827</v>
      </c>
      <c r="AS14" s="72" t="str">
        <f t="shared" si="0"/>
        <v>Радиосистема  MCF E-8 4</v>
      </c>
      <c r="AT14" s="72" t="str">
        <f t="shared" si="1"/>
        <v>Радиосистема  MCF E-8 4</v>
      </c>
      <c r="AU14" s="72" t="s">
        <v>1840</v>
      </c>
      <c r="AV14" s="15"/>
      <c r="AW14" s="72" t="s">
        <v>1837</v>
      </c>
      <c r="AX14" s="72" t="s">
        <v>1841</v>
      </c>
      <c r="AY14" s="72" t="s">
        <v>1842</v>
      </c>
      <c r="AZ14" s="72" t="s">
        <v>1843</v>
      </c>
      <c r="BA14" s="72" t="s">
        <v>1844</v>
      </c>
      <c r="BB14" s="72" t="s">
        <v>1951</v>
      </c>
    </row>
    <row r="15" spans="1:54" ht="248.25" customHeight="1" x14ac:dyDescent="0.25">
      <c r="A15" s="89">
        <v>14</v>
      </c>
      <c r="B15" s="92" t="s">
        <v>1625</v>
      </c>
      <c r="C15" s="2" t="s">
        <v>1662</v>
      </c>
      <c r="D15" s="2"/>
      <c r="E15" s="2"/>
      <c r="F15" s="2"/>
      <c r="G15" s="90"/>
      <c r="H15" s="90" t="s">
        <v>1626</v>
      </c>
      <c r="I15" s="90" t="s">
        <v>1513</v>
      </c>
      <c r="J15" s="90" t="s">
        <v>1515</v>
      </c>
      <c r="L15" s="90" t="s">
        <v>1627</v>
      </c>
      <c r="M15" s="90" t="s">
        <v>1628</v>
      </c>
      <c r="N15" s="90" t="s">
        <v>1549</v>
      </c>
      <c r="O15" s="90" t="s">
        <v>1522</v>
      </c>
      <c r="P15" s="90" t="s">
        <v>1570</v>
      </c>
      <c r="Q15" s="90" t="s">
        <v>1571</v>
      </c>
      <c r="T15" s="90" t="s">
        <v>1526</v>
      </c>
      <c r="U15" s="90" t="s">
        <v>1629</v>
      </c>
      <c r="V15" s="90" t="s">
        <v>1530</v>
      </c>
      <c r="W15" s="90" t="s">
        <v>1532</v>
      </c>
      <c r="X15" s="90" t="s">
        <v>1534</v>
      </c>
      <c r="Y15" s="90" t="s">
        <v>1536</v>
      </c>
      <c r="Z15" s="90" t="s">
        <v>1574</v>
      </c>
      <c r="AB15" s="90" t="s">
        <v>1540</v>
      </c>
      <c r="AE15" s="90" t="s">
        <v>1553</v>
      </c>
      <c r="AF15" s="90" t="s">
        <v>1630</v>
      </c>
      <c r="AH15" s="90" t="s">
        <v>1544</v>
      </c>
      <c r="AK15" s="90" t="s">
        <v>1556</v>
      </c>
      <c r="AL15" s="90" t="s">
        <v>1663</v>
      </c>
      <c r="AN15" s="54" t="s">
        <v>1652</v>
      </c>
      <c r="AO15" s="90" t="s">
        <v>1573</v>
      </c>
      <c r="AP15" s="90" t="str">
        <f>CONCATENATE( C1,C15,CHAR(10), D1,D15,CHAR(10), E1,E15,CHAR(10), F1,F15,CHAR(10), G1,G15,CHAR(10), H1,H15,CHAR(10), I1,I15,CHAR(10), J1,J15,CHAR(10), K1,K15,CHAR(10), L1,L15,CHAR(10), M1,M15,CHAR(10), N1,N15,CHAR(10), O1,O15,CHAR(10), P1,P15,CHAR(10), Q1,Q15,CHAR(10), R1,R15,CHAR(10), S1,S15,CHAR(10), U1,U15,CHAR(10), V1,V15,CHAR(10), W1,W15,CHAR(10), X1,X15,CHAR(10), Y1,Y15,CHAR(10), Z1,Z15,CHAR(10), AA1,AA15,CHAR(10), AB1,AB15,CHAR(10), AC1,AC15,CHAR(10), AD1,AD15,CHAR(10), AE1,AE15,CHAR(10), AF1,AF15,CHAR(10), AG1,AG15,CHAR(10), AH1,AH15,CHAR(10), AI1,AI15,CHAR(10), AJ1,AJ15,CHAR(10), AK1,AK15,CHAR(10), AL1,AL15,CHAR(10), AM1,AM15,CHAR(10), AN1,AN15,CHAR(10), AO1,AO15,CHAR(10),  )</f>
        <v xml:space="preserve">Количество ручных микрофонов в комплекте:ручные (MCF U-7700): 4,  петлички (MCF U-7700-P): 4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
Диапазон перенастраиваемых частот радиоканалов:620-780 MHz
Стабильность частоты радиоканала:±0.005%
Мощность передатчика:10 мВт
Количество фиксированых радиоканалов:
Количество перестраиваемых радиоканалов:100х4
Соотношение сигнал/шум:-90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капсюля:40-18000 Hz
Частотный диапазон микрофонного передатчика:
Частотный диапазон поясного передатчика:
Способ отображения информации на базе:два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приёмника:2000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петлички:75 гр.
Вес гарнитуры: 10 гр. (телесный цвет), 4 гр. (черный цвет)
Вес гарнитурного микрофона:
ОписаниеАвтоматический поиск свободного радиоканала, Настройка частоты передатчика по инфракрасному каналу
Тип крепления:рэк исполнение
</v>
      </c>
      <c r="AQ15" s="146">
        <v>24900</v>
      </c>
      <c r="AR15" s="72" t="s">
        <v>1827</v>
      </c>
      <c r="AS15" s="72" t="str">
        <f t="shared" si="0"/>
        <v>Радиосистема  MCF U-7700 /  ручные (MCF U-7700): 4,  петлички (MCF U-7700-P): 4</v>
      </c>
      <c r="AT15" s="72" t="str">
        <f t="shared" si="1"/>
        <v>Радиосистема  MCF U-7700 /  ручные (MCF U-7700): 4,  петлички (MCF U-7700-P): 4</v>
      </c>
      <c r="AU15" s="72" t="s">
        <v>1840</v>
      </c>
      <c r="AV15" s="32"/>
      <c r="AW15" s="72" t="s">
        <v>1837</v>
      </c>
      <c r="AX15" s="72" t="s">
        <v>1841</v>
      </c>
      <c r="AY15" s="72" t="s">
        <v>1842</v>
      </c>
      <c r="AZ15" s="72" t="s">
        <v>1843</v>
      </c>
      <c r="BA15" s="72" t="s">
        <v>1844</v>
      </c>
      <c r="BB15" s="72" t="s">
        <v>1951</v>
      </c>
    </row>
    <row r="16" spans="1:54" ht="248.25" customHeight="1" x14ac:dyDescent="0.3">
      <c r="A16" s="89">
        <v>15</v>
      </c>
      <c r="B16" s="92" t="s">
        <v>1672</v>
      </c>
      <c r="D16" s="2"/>
      <c r="E16" s="2"/>
      <c r="F16" s="2"/>
      <c r="G16" s="90"/>
      <c r="H16" s="90" t="s">
        <v>1626</v>
      </c>
      <c r="I16" s="90" t="s">
        <v>1513</v>
      </c>
      <c r="J16" s="90" t="s">
        <v>1515</v>
      </c>
      <c r="L16" s="90" t="s">
        <v>1627</v>
      </c>
      <c r="M16" s="90" t="s">
        <v>1628</v>
      </c>
      <c r="N16" s="90" t="s">
        <v>1549</v>
      </c>
      <c r="O16" s="90" t="s">
        <v>1522</v>
      </c>
      <c r="P16" s="90" t="s">
        <v>1570</v>
      </c>
      <c r="Q16" s="90" t="s">
        <v>1571</v>
      </c>
      <c r="T16" s="90" t="s">
        <v>1526</v>
      </c>
      <c r="U16" s="90" t="s">
        <v>1629</v>
      </c>
      <c r="V16" s="90" t="s">
        <v>1530</v>
      </c>
      <c r="W16" s="90" t="s">
        <v>1532</v>
      </c>
      <c r="X16" s="90" t="s">
        <v>1534</v>
      </c>
      <c r="Y16" s="90" t="s">
        <v>1536</v>
      </c>
      <c r="Z16" s="90" t="s">
        <v>1574</v>
      </c>
      <c r="AB16" s="90" t="s">
        <v>1540</v>
      </c>
      <c r="AE16" s="90" t="s">
        <v>1553</v>
      </c>
      <c r="AF16" s="90" t="s">
        <v>1630</v>
      </c>
      <c r="AH16" s="90" t="s">
        <v>1544</v>
      </c>
      <c r="AK16" s="90" t="s">
        <v>1654</v>
      </c>
      <c r="AL16" s="90" t="s">
        <v>1663</v>
      </c>
      <c r="AN16" s="54" t="s">
        <v>1652</v>
      </c>
      <c r="AO16" s="90" t="s">
        <v>1573</v>
      </c>
      <c r="AP16" s="90" t="str">
        <f>CONCATENATE( C1,C16,CHAR(10), D1,D16,CHAR(10), E1,E16,CHAR(10), F1,F16,CHAR(10), G1,G16,CHAR(10), H1,H16,CHAR(10), I1,I16,CHAR(10), J1,J16,CHAR(10), K1,K16,CHAR(10), L1,L16,CHAR(10), M1,M16,CHAR(10), N1,N16,CHAR(10), O1,O16,CHAR(10), P1,P16,CHAR(10), Q1,Q16,CHAR(10), R1,R16,CHAR(10), S1,S16,CHAR(10), U1,U16,CHAR(10), V1,V16,CHAR(10), W1,W16,CHAR(10), X1,X16,CHAR(10), Y1,Y16,CHAR(10), Z1,Z16,CHAR(10), AA1,AA16,CHAR(10), AB1,AB16,CHAR(10), AC1,AC16,CHAR(10), AD1,AD16,CHAR(10), AE1,AE16,CHAR(10), AF1,AF16,CHAR(10), AG1,AG16,CHAR(10), AH1,AH16,CHAR(10), AI1,AI16,CHAR(10), AJ1,AJ16,CHAR(10), AK1,AK16,CHAR(10), AL1,AL16,CHAR(10), AM1,AM16,CHAR(10), AN1,AN16,CHAR(10), AO1,AO16,CHAR(10),  )</f>
        <v xml:space="preserve">Количество ручных микрофонов в комплекте:
Количество универсальных микрофонных радиопередатчиков конденсаторного типа:
Количество антенн:
Кол-во капсюлей
Диапазон фиксируемых частот радиоканалов:
Диапазон перенастраиваемых частот радиоканалов:620-780 MHz
Стабильность частоты радиоканала:±0.005%
Мощность передатчика:10 мВт
Количество фиксированых радиоканалов:
Количество перестраиваемых радиоканалов:100х4
Соотношение сигнал/шум:-90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капсюля:40-18000 Hz
Частотный диапазон микрофонного передатчика:
Частотный диапазон поясного передатчика:
Способ отображения информации на базе:два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петлички:65х90х25 мм
Вес приёмника:2000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петлички:76 гр.
Вес гарнитуры: 10 гр. (телесный цвет), 4 гр. (черный цвет)
Вес гарнитурного микрофона:
ОписаниеАвтоматический поиск свободного радиоканала, Настройка частоты передатчика по инфракрасному каналу
Тип крепления:рэк исполнение
</v>
      </c>
      <c r="AQ16" s="146">
        <v>24900</v>
      </c>
      <c r="AR16" s="72" t="s">
        <v>1827</v>
      </c>
      <c r="AS16" s="72" t="str">
        <f t="shared" si="0"/>
        <v xml:space="preserve">Радиосистема  MCF U-7700-Гарнитура </v>
      </c>
      <c r="AT16" s="72" t="str">
        <f t="shared" si="1"/>
        <v xml:space="preserve">Радиосистема  MCF U-7700-Гарнитура </v>
      </c>
      <c r="AU16" s="72" t="s">
        <v>1840</v>
      </c>
      <c r="AV16" s="15"/>
      <c r="AW16" s="72" t="s">
        <v>1837</v>
      </c>
      <c r="AX16" s="72" t="s">
        <v>1841</v>
      </c>
      <c r="AY16" s="72" t="s">
        <v>1842</v>
      </c>
      <c r="AZ16" s="72" t="s">
        <v>1843</v>
      </c>
      <c r="BA16" s="72" t="s">
        <v>1844</v>
      </c>
      <c r="BB16" s="72" t="s">
        <v>1951</v>
      </c>
    </row>
    <row r="17" spans="1:54" ht="248.25" customHeight="1" x14ac:dyDescent="0.25">
      <c r="A17" s="89">
        <v>16</v>
      </c>
      <c r="B17" s="92" t="s">
        <v>1631</v>
      </c>
      <c r="C17" s="90">
        <v>4</v>
      </c>
      <c r="D17" s="2"/>
      <c r="E17" s="90">
        <v>4</v>
      </c>
      <c r="F17" s="2"/>
      <c r="G17" s="90" t="s">
        <v>1626</v>
      </c>
      <c r="H17" s="90"/>
      <c r="I17" s="90" t="s">
        <v>1513</v>
      </c>
      <c r="J17" s="90" t="s">
        <v>1515</v>
      </c>
      <c r="K17" s="90">
        <v>4</v>
      </c>
      <c r="M17" s="90" t="s">
        <v>1628</v>
      </c>
      <c r="N17" s="90" t="s">
        <v>1549</v>
      </c>
      <c r="O17" s="90" t="s">
        <v>1522</v>
      </c>
      <c r="P17" s="90" t="s">
        <v>1570</v>
      </c>
      <c r="Q17" s="90" t="s">
        <v>1524</v>
      </c>
      <c r="T17" s="90" t="s">
        <v>1526</v>
      </c>
      <c r="U17" s="90" t="s">
        <v>1632</v>
      </c>
      <c r="V17" s="90" t="s">
        <v>1530</v>
      </c>
      <c r="W17" s="90" t="s">
        <v>1532</v>
      </c>
      <c r="X17" s="90" t="s">
        <v>1534</v>
      </c>
      <c r="Y17" s="90" t="s">
        <v>1536</v>
      </c>
      <c r="Z17" s="90" t="s">
        <v>1574</v>
      </c>
      <c r="AB17" s="90" t="s">
        <v>1540</v>
      </c>
      <c r="AF17" s="90" t="s">
        <v>1630</v>
      </c>
      <c r="AH17" s="90" t="s">
        <v>1544</v>
      </c>
      <c r="AP17" s="98" t="str">
        <f>CONCATENATE( C1,C17,CHAR(10), D1,D17,CHAR(10), E1,E17,CHAR(10), F1,F17,CHAR(10), G1,G17,CHAR(10), H1,H17,CHAR(10), I1,I17,CHAR(10), J1,J17,CHAR(10), K1,K17,CHAR(10), L1,L17,CHAR(10), M1,M17,CHAR(10), N1,N17,CHAR(10), O1,O17,CHAR(10), P1,P17,CHAR(10), Q1,Q17,CHAR(10), R1,R17,CHAR(10), S1,S17,CHAR(10), U1,U17,CHAR(10), V1,V17,CHAR(10), W1,W17,CHAR(10), X1,X17,CHAR(10), Y1,Y17,CHAR(10), Z1,Z17,CHAR(10), AA1,AA17,CHAR(10), AB1,AB17,CHAR(10), AC1,AC17,CHAR(10), AD1,AD17,CHAR(10), AE1,AE17,CHAR(10), AF1,AF17,CHAR(10), AG1,AG17,CHAR(10), AH1,AH17,CHAR(10), AI1,AI17,CHAR(10), AJ1,AJ17,CHAR(10), AK1,AK17,CHAR(10), AL1,AL17,CHAR(10), AM1,AM17,CHAR(10), AN1,AN17,CHAR(10), AO1,AO17,CHAR(10),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радиоканалов:620-780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радиоканалов:4
Количество перестраиваемых радиоканалов:
Соотношение сигнал/шум:-90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базе:четыре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приёмника:2000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17" s="146">
        <v>14900</v>
      </c>
      <c r="AR17" s="72" t="s">
        <v>1827</v>
      </c>
      <c r="AS17" s="72" t="str">
        <f t="shared" si="0"/>
        <v>Радиосистема  MCF U-6600 /  4</v>
      </c>
      <c r="AT17" s="72" t="str">
        <f t="shared" si="1"/>
        <v>Радиосистема  MCF U-6600 /  4</v>
      </c>
      <c r="AU17" s="72" t="s">
        <v>1840</v>
      </c>
      <c r="AV17" s="15"/>
      <c r="AW17" s="72" t="s">
        <v>1837</v>
      </c>
      <c r="AX17" s="72" t="s">
        <v>1841</v>
      </c>
      <c r="AY17" s="72" t="s">
        <v>1842</v>
      </c>
      <c r="AZ17" s="72" t="s">
        <v>1843</v>
      </c>
      <c r="BA17" s="72" t="s">
        <v>1844</v>
      </c>
      <c r="BB17" s="72" t="s">
        <v>1951</v>
      </c>
    </row>
    <row r="18" spans="1:54" ht="248.25" customHeight="1" x14ac:dyDescent="0.3">
      <c r="A18" s="89">
        <v>17</v>
      </c>
      <c r="B18" s="92" t="s">
        <v>1673</v>
      </c>
      <c r="C18" s="90">
        <v>4</v>
      </c>
      <c r="D18" s="2"/>
      <c r="E18" s="90">
        <v>4</v>
      </c>
      <c r="F18" s="2"/>
      <c r="G18" s="90" t="s">
        <v>1626</v>
      </c>
      <c r="H18" s="90"/>
      <c r="I18" s="90" t="s">
        <v>1513</v>
      </c>
      <c r="J18" s="90" t="s">
        <v>1515</v>
      </c>
      <c r="K18" s="90">
        <v>4</v>
      </c>
      <c r="M18" s="90" t="s">
        <v>1628</v>
      </c>
      <c r="N18" s="90" t="s">
        <v>1549</v>
      </c>
      <c r="O18" s="90" t="s">
        <v>1522</v>
      </c>
      <c r="P18" s="90" t="s">
        <v>1570</v>
      </c>
      <c r="Q18" s="90" t="s">
        <v>1524</v>
      </c>
      <c r="T18" s="90" t="s">
        <v>1526</v>
      </c>
      <c r="U18" s="90" t="s">
        <v>1632</v>
      </c>
      <c r="V18" s="90" t="s">
        <v>1530</v>
      </c>
      <c r="W18" s="90" t="s">
        <v>1532</v>
      </c>
      <c r="X18" s="90" t="s">
        <v>1534</v>
      </c>
      <c r="Y18" s="90" t="s">
        <v>1536</v>
      </c>
      <c r="Z18" s="90" t="s">
        <v>1574</v>
      </c>
      <c r="AE18" s="90" t="s">
        <v>1553</v>
      </c>
      <c r="AF18" s="90" t="s">
        <v>1630</v>
      </c>
      <c r="AK18" s="90" t="s">
        <v>1556</v>
      </c>
      <c r="AL18" s="90" t="s">
        <v>1664</v>
      </c>
      <c r="AP18" s="98" t="str">
        <f>CONCATENATE( C1,C18,CHAR(10), D1,D18,CHAR(10), E1,E18,CHAR(10), F1,F18,CHAR(10), G1,G18,CHAR(10), H1,H18,CHAR(10), I1,I18,CHAR(10), J1,J18,CHAR(10), K1,K18,CHAR(10), L1,L18,CHAR(10), M1,M18,CHAR(10), N1,N18,CHAR(10), O1,O18,CHAR(10), P1,P18,CHAR(10), Q1,Q18,CHAR(10), R1,R18,CHAR(10), S1,S18,CHAR(10), U1,U18,CHAR(10), V1,V18,CHAR(10), W1,W18,CHAR(10), X1,X18,CHAR(10), Y1,Y18,CHAR(10), Z1,Z18,CHAR(10), AA1,AA18,CHAR(10), AB1,AB18,CHAR(10), AC1,AC18,CHAR(10), AD1,AD18,CHAR(10), AE1,AE18,CHAR(10), AF1,AF18,CHAR(10), AG1,AG18,CHAR(10), AH1,AH18,CHAR(10), AI1,AI18,CHAR(10), AJ1,AJ18,CHAR(10), AK1,AK18,CHAR(10), AL1,AL18,CHAR(10), AM1,AM18,CHAR(10), AN1,AN18,CHAR(10), AO1,AO18,CHAR(10),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радиоканалов:620-780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радиоканалов:4
Количество перестраиваемых радиоканалов:
Соотношение сигнал/шум:-90 dB
Пиковая девиация: ±25 KHz
Тип микрофонного капсюля:динамический
Тип микрофонного капсула (гарнитура петличка):конденсаторный
Частотный диапазон микрофонного капсюля:40-16000 Hz
Частотный диапазон микрофонного передатчика:
Частотный диапазон поясного передатчика:
Способ отображения информации на базе:четыре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передатчика:420х210х45 мм + 2х30мм (крепления в рэк)
Размеры ручного передатчика с капсюлем:
Размеры микрофона динамический:
Размеры микрофона конденсаторный:
Вес петличного микрофона:
Размеры передатчика петлички:65х90х25 мм
Вес приёмника:2000 гр.
Вес радио микрофонного передатчика без капсюля:
Вес передатчика ручного динамического:
Вес передатчика универсального конденсаторного:
Вес капсюля:
Вес передатчика поясного для гарнитуры и петлички:75 гр.
Вес гарнитуры: 10 гр. (телесный цвет), 4 гр. (черный
Вес гарнитурного микрофона:
Описание
Тип крепления:
</v>
      </c>
      <c r="AQ18" s="146">
        <v>14900</v>
      </c>
      <c r="AR18" s="72" t="s">
        <v>1827</v>
      </c>
      <c r="AS18" s="72" t="str">
        <f t="shared" si="0"/>
        <v>Радиосистема  MCF U-6600-Петлички 4</v>
      </c>
      <c r="AT18" s="72" t="str">
        <f t="shared" si="1"/>
        <v>Радиосистема  MCF U-6600-Петлички 4</v>
      </c>
      <c r="AU18" s="72" t="s">
        <v>1840</v>
      </c>
      <c r="AV18" s="32"/>
      <c r="AW18" s="72" t="s">
        <v>1837</v>
      </c>
      <c r="AX18" s="72" t="s">
        <v>1841</v>
      </c>
      <c r="AY18" s="72" t="s">
        <v>1842</v>
      </c>
      <c r="AZ18" s="72" t="s">
        <v>1843</v>
      </c>
      <c r="BA18" s="72" t="s">
        <v>1844</v>
      </c>
      <c r="BB18" s="72" t="s">
        <v>1951</v>
      </c>
    </row>
    <row r="19" spans="1:54" ht="248.25" customHeight="1" x14ac:dyDescent="0.25">
      <c r="A19" s="89">
        <v>18</v>
      </c>
      <c r="B19" s="89" t="s">
        <v>1633</v>
      </c>
      <c r="C19" s="90">
        <v>4</v>
      </c>
      <c r="D19" s="2"/>
      <c r="E19" s="90">
        <v>4</v>
      </c>
      <c r="F19" s="2"/>
      <c r="H19" s="90" t="s">
        <v>1578</v>
      </c>
      <c r="I19" s="90" t="s">
        <v>1579</v>
      </c>
      <c r="J19" s="90" t="s">
        <v>1515</v>
      </c>
      <c r="L19" s="90" t="s">
        <v>1634</v>
      </c>
      <c r="M19" s="90" t="s">
        <v>1581</v>
      </c>
      <c r="N19" s="90" t="s">
        <v>1598</v>
      </c>
      <c r="O19" s="90" t="s">
        <v>1522</v>
      </c>
      <c r="Q19" s="90" t="s">
        <v>1635</v>
      </c>
      <c r="R19" s="90" t="s">
        <v>1636</v>
      </c>
      <c r="T19" s="90" t="s">
        <v>1550</v>
      </c>
      <c r="U19" s="90" t="s">
        <v>1637</v>
      </c>
      <c r="V19" s="90" t="s">
        <v>1530</v>
      </c>
      <c r="W19" s="90" t="s">
        <v>1532</v>
      </c>
      <c r="X19" s="90" t="s">
        <v>1534</v>
      </c>
      <c r="Y19" s="90" t="s">
        <v>1536</v>
      </c>
      <c r="Z19" s="90" t="s">
        <v>1675</v>
      </c>
      <c r="AB19" s="90" t="s">
        <v>1540</v>
      </c>
      <c r="AF19" s="90" t="s">
        <v>1665</v>
      </c>
      <c r="AH19" s="90" t="s">
        <v>1544</v>
      </c>
      <c r="AP19" s="98" t="str">
        <f>CONCATENATE( C1,C19,CHAR(10), D1,D19,CHAR(10), E1,E19,CHAR(10), F1,F19,CHAR(10), G1,G19,CHAR(10), H1,H19,CHAR(10), I1,I19,CHAR(10), J1,J19,CHAR(10), K1,K19,CHAR(10), L1,L19,CHAR(10), M1,M19,CHAR(10), N1,N19,CHAR(10), O1,O19,CHAR(10), P1,P19,CHAR(10), Q1,Q19,CHAR(10), R1,R19,CHAR(10), S1,S19,CHAR(10), U1,U19,CHAR(10), V1,V19,CHAR(10), W1,W19,CHAR(10), X1,X19,CHAR(10), Y1,Y19,CHAR(10), Z1,Z19,CHAR(10), AA1,AA19,CHAR(10), AB1,AB19,CHAR(10), AC1,AC19,CHAR(10), AD1,AD19,CHAR(10), AE1,AE19,CHAR(10), AF1,AF19,CHAR(10), AG1,AG19,CHAR(10), AH1,AH19,CHAR(10), AI1,AI19,CHAR(10), AJ1,AJ19,CHAR(10), AK1,AK19,CHAR(10), AL1,AL19,CHAR(10), AM1,AM19,CHAR(10), AN1,AN19,CHAR(10), AO1,AO19,CHAR(10),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
Количество перестраиваемых радиоканалов:4х100 интервал 25КГц
Соотношение сигнал/шум:&gt;90 dB
Пиковая девиация: ±80кГц
Тип микрофонного капсюля:динамический
Тип микрофонного капсула (гарнитура петличка):
Частотный диапазон микрофонного капсюля:30-20кГц /±3дБ
Частотный диапазон микрофонного передатчика:30-21кГц /±3дБ
Частотный диапазон поясного передатчика:
Способ отображения информации на базе:4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 + 2х30мм (крепления в рэк) х 44 х 210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приёмника:1750 гр. (без учета фурнитуры)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19" s="146">
        <v>32900</v>
      </c>
      <c r="AR19" s="72" t="s">
        <v>1827</v>
      </c>
      <c r="AS19" s="72" t="str">
        <f t="shared" si="0"/>
        <v>Радиосистема  MCF 4-GF 4</v>
      </c>
      <c r="AT19" s="72" t="str">
        <f t="shared" si="1"/>
        <v>Радиосистема  MCF 4-GF 4</v>
      </c>
      <c r="AU19" s="72" t="s">
        <v>1840</v>
      </c>
      <c r="AV19" s="15"/>
      <c r="AW19" s="72" t="s">
        <v>1837</v>
      </c>
      <c r="AX19" s="72" t="s">
        <v>1841</v>
      </c>
      <c r="AY19" s="72" t="s">
        <v>1842</v>
      </c>
      <c r="AZ19" s="72" t="s">
        <v>1843</v>
      </c>
      <c r="BA19" s="72" t="s">
        <v>1844</v>
      </c>
      <c r="BB19" s="72" t="s">
        <v>1951</v>
      </c>
    </row>
    <row r="20" spans="1:54" ht="248.25" customHeight="1" x14ac:dyDescent="0.25">
      <c r="A20" s="89">
        <v>19</v>
      </c>
      <c r="B20" s="89" t="s">
        <v>1638</v>
      </c>
      <c r="C20" s="90">
        <v>4</v>
      </c>
      <c r="D20" s="2"/>
      <c r="E20" s="90">
        <v>4</v>
      </c>
      <c r="F20" s="90" t="s">
        <v>1666</v>
      </c>
      <c r="H20" s="90" t="s">
        <v>1578</v>
      </c>
      <c r="I20" s="90" t="s">
        <v>1579</v>
      </c>
      <c r="J20" s="90" t="s">
        <v>1515</v>
      </c>
      <c r="K20" s="90" t="s">
        <v>1634</v>
      </c>
      <c r="M20" s="90" t="s">
        <v>1581</v>
      </c>
      <c r="N20" s="90" t="s">
        <v>1598</v>
      </c>
      <c r="O20" s="90" t="s">
        <v>1522</v>
      </c>
      <c r="Q20" s="90" t="s">
        <v>1635</v>
      </c>
      <c r="R20" s="90" t="s">
        <v>1636</v>
      </c>
      <c r="T20" s="90" t="s">
        <v>1599</v>
      </c>
      <c r="U20" s="90" t="s">
        <v>1551</v>
      </c>
      <c r="V20" s="90" t="s">
        <v>1530</v>
      </c>
      <c r="W20" s="90" t="s">
        <v>1600</v>
      </c>
      <c r="X20" s="90" t="s">
        <v>1534</v>
      </c>
      <c r="Y20" s="90" t="s">
        <v>1536</v>
      </c>
      <c r="Z20" s="90" t="s">
        <v>1639</v>
      </c>
      <c r="AA20" s="90" t="s">
        <v>1602</v>
      </c>
      <c r="AF20" s="90" t="s">
        <v>1665</v>
      </c>
      <c r="AG20" s="90" t="s">
        <v>1604</v>
      </c>
      <c r="AJ20" s="90" t="s">
        <v>1606</v>
      </c>
      <c r="AP20" s="98" t="str">
        <f>CONCATENATE( C1,C20,CHAR(10), D1,D20,CHAR(10), E1,E20,CHAR(10), F1,F20,CHAR(10), G1,G20,CHAR(10), H1,H20,CHAR(10), I1,I20,CHAR(10), J1,J20,CHAR(10), K1,K20,CHAR(10), L1,L20,CHAR(10), M1,M20,CHAR(10), N1,N20,CHAR(10), O1,O20,CHAR(10), P1,P20,CHAR(10), Q1,Q20,CHAR(10), R1,R20,CHAR(10), S1,S20,CHAR(10), U1,U20,CHAR(10), V1,V20,CHAR(10), W1,W20,CHAR(10), X1,X20,CHAR(10), Y1,Y20,CHAR(10), Z1,Z20,CHAR(10), AA1,AA20,CHAR(10), AB1,AB20,CHAR(10), AC1,AC20,CHAR(10), AD1,AD20,CHAR(10), AE1,AE20,CHAR(10), AF1,AF20,CHAR(10), AG1,AG20,CHAR(10), AH1,AH20,CHAR(10), AI1,AI20,CHAR(10), AJ1,AJ20,CHAR(10), AK1,AK20,CHAR(10), AL1,AL20,CHAR(10), AM1,AM20,CHAR(10), AN1,AN20,CHAR(10), AO1,AO20,CHAR(10),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капсюлей4 (кардиоида), 4 (суперкардиоида)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радиоканалов:4х100 интервал 25КГц
Количество перестраиваемых радиоканалов:
Соотношение сигнал/шум:&gt;90 dB
Пиковая девиация: ±80кГц
Тип микрофонного капсюля:динамический
Тип микрофонного капсула (гарнитура петличка):
Частотный диапазон микрофонного капсюля:30-20кГц /±3дБ
Частотный диапазон микрофонного передатчика:30-21кГц /±3дБ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батарей:не менее 8 часов
Дальность уверенного приема на открытом пространстве:до 100 м
Диапазон эксплуатационных температур:от -10 до +40 С°
Размеры радио передатчика:420 + 2х30мм (крепления в рэк) х 44 х 210
Размеры ручного передатчика с капсюлем:53х272х53 мм
Размеры микрофона динамический:
Размеры микрофона конденсаторный:
Вес петличного микрофона:
Размеры передатчика петлички:
Вес приёмника:1750 гр. (без учета фурнитуры)
Вес радио микрофонного передатчика без капсюля:220 гр.
Вес передатчика ручного динамического:
Вес передатчика универсального конденсаторного:
Вес капсюля:210 гр.
Вес передатчика поясного для гарнитуры и петлички:
Вес гарнитуры: 
Вес гарнитурного микрофона:
Описание
Тип крепления:
</v>
      </c>
      <c r="AQ20" s="89" t="s">
        <v>489</v>
      </c>
      <c r="AR20" s="72" t="s">
        <v>1827</v>
      </c>
      <c r="AS20" s="72" t="str">
        <f t="shared" si="0"/>
        <v>Радиосистема  MCF 4-GF NEXT 4</v>
      </c>
      <c r="AT20" s="72" t="str">
        <f t="shared" si="1"/>
        <v>Радиосистема  MCF 4-GF NEXT 4</v>
      </c>
      <c r="AU20" s="72" t="s">
        <v>1840</v>
      </c>
      <c r="AV20" s="15"/>
      <c r="AW20" s="72" t="s">
        <v>1837</v>
      </c>
      <c r="AX20" s="72" t="s">
        <v>1841</v>
      </c>
      <c r="AY20" s="72" t="s">
        <v>1842</v>
      </c>
      <c r="AZ20" s="72" t="s">
        <v>1843</v>
      </c>
      <c r="BA20" s="72" t="s">
        <v>1844</v>
      </c>
      <c r="BB20" s="72" t="s">
        <v>1951</v>
      </c>
    </row>
    <row r="21" spans="1:54" ht="248.25" customHeight="1" x14ac:dyDescent="0.3">
      <c r="A21" s="89">
        <v>20</v>
      </c>
      <c r="B21" s="89" t="s">
        <v>1674</v>
      </c>
      <c r="C21" s="90">
        <v>4</v>
      </c>
      <c r="D21" s="2"/>
      <c r="E21" s="90">
        <v>4</v>
      </c>
      <c r="F21" s="2"/>
      <c r="H21" s="90" t="s">
        <v>1578</v>
      </c>
      <c r="I21" s="2" t="s">
        <v>1579</v>
      </c>
      <c r="J21" s="90" t="s">
        <v>1515</v>
      </c>
      <c r="K21" s="90" t="s">
        <v>1634</v>
      </c>
      <c r="M21" s="90" t="s">
        <v>1581</v>
      </c>
      <c r="N21" s="90" t="s">
        <v>1598</v>
      </c>
      <c r="O21" s="90" t="s">
        <v>1588</v>
      </c>
      <c r="Q21" s="90" t="s">
        <v>1589</v>
      </c>
      <c r="S21" s="90" t="s">
        <v>1591</v>
      </c>
      <c r="T21" s="90" t="s">
        <v>1550</v>
      </c>
      <c r="U21" s="90" t="s">
        <v>1637</v>
      </c>
      <c r="V21" s="90" t="s">
        <v>1530</v>
      </c>
      <c r="W21" s="90" t="s">
        <v>1532</v>
      </c>
      <c r="X21" s="90" t="s">
        <v>1534</v>
      </c>
      <c r="Y21" s="90" t="s">
        <v>1536</v>
      </c>
      <c r="Z21" s="90" t="s">
        <v>1675</v>
      </c>
      <c r="AD21" s="90" t="s">
        <v>1594</v>
      </c>
      <c r="AE21" s="90" t="s">
        <v>1553</v>
      </c>
      <c r="AF21" s="90" t="s">
        <v>1665</v>
      </c>
      <c r="AK21" s="90" t="s">
        <v>1592</v>
      </c>
      <c r="AL21" s="90" t="s">
        <v>1667</v>
      </c>
      <c r="AP21" s="98" t="str">
        <f>CONCATENATE( C1,C21,CHAR(10), D1,D21,CHAR(10), E1,E21,CHAR(10), F1,F21,CHAR(10), G1,G21,CHAR(10), H1,H21,CHAR(10), I1,I21,CHAR(10), J1,J21,CHAR(10), K1,K21,CHAR(10), L1,L21,CHAR(10), M1,M21,CHAR(10), N1,N21,CHAR(10), O1,O21,CHAR(10), P1,P21,CHAR(10), Q1,Q21,CHAR(10), R1,R21,CHAR(10), S1,S21,CHAR(10), U1,U21,CHAR(10), V1,V21,CHAR(10), W1,W21,CHAR(10), X1,X21,CHAR(10), Y1,Y21,CHAR(10), Z1,Z21,CHAR(10), AA1,AA21,CHAR(10), AB1,AB21,CHAR(10), AC1,AC21,CHAR(10), AD1,AD21,CHAR(10), AE1,AE21,CHAR(10), AF1,AF21,CHAR(10), AG1,AG21,CHAR(10), AH1,AH21,CHAR(10), AI1,AI21,CHAR(10), AJ1,AJ21,CHAR(10), AK1,AK21,CHAR(10), AL1,AL21,CHAR(10), AM1,AM21,CHAR(10), AN1,AN21,CHAR(10), AO1,AO21,CHAR(10),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радиоканалов:4х100 интервал 25КГц
Количество перестраиваемых радиоканалов:
Соотношение сигнал/шум:&gt;90 dB
Пиковая девиация: ±80кГц
Тип микрофонного капсюля:конденсаторный с поясным передатчиком
Тип микрофонного капсула (гарнитура петличка):
Частотный диапазон микрофонного капсюля:(40Гц-18кГц)/ (40Гц-20кГц)
Частотный диапазон микрофонного передатчика:
Частотный диапазон поясного передатчика:30Гц-20кГц
Способ отображения информации на базе:4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 + 2х30мм (крепления в рэк) х 44 х 210
Размеры ручного передатчика с капсюлем:
Размеры микрофона динамический:
Размеры микрофона конденсаторный:
Вес петличного микрофона:6-10 гр.
Размеры передатчика петлички:65х90х25 мм
Вес приёмника:1750 гр. (без учета фурнитуры)
Вес радио микрофонного передатчика без капсюля:
Вес передатчика ручного динамического:
Вес передатчика универсального конденсаторного:
Вес капсюля:
Вес передатчика поясного для гарнитуры и петлички:130 гр.
Вес гарнитуры: 4 гр. (телесный, черный)
Вес гарнитурного микрофона:
Описание
Тип крепления:
</v>
      </c>
      <c r="AQ21" s="146">
        <v>29900</v>
      </c>
      <c r="AR21" s="72" t="s">
        <v>1827</v>
      </c>
      <c r="AS21" s="72" t="str">
        <f t="shared" si="0"/>
        <v>Радиосистема  MCF 4-GF-Петлички/Гарнитуры 4</v>
      </c>
      <c r="AT21" s="72" t="str">
        <f t="shared" si="1"/>
        <v>Радиосистема  MCF 4-GF-Петлички/Гарнитуры 4</v>
      </c>
      <c r="AU21" s="72" t="s">
        <v>1840</v>
      </c>
      <c r="AV21" s="32"/>
      <c r="AW21" s="72" t="s">
        <v>1837</v>
      </c>
      <c r="AX21" s="72" t="s">
        <v>1841</v>
      </c>
      <c r="AY21" s="72" t="s">
        <v>1842</v>
      </c>
      <c r="AZ21" s="72" t="s">
        <v>1843</v>
      </c>
      <c r="BA21" s="72" t="s">
        <v>1844</v>
      </c>
      <c r="BB21" s="72" t="s">
        <v>1951</v>
      </c>
    </row>
    <row r="22" spans="1:54" ht="248.25" customHeight="1" x14ac:dyDescent="0.25">
      <c r="A22" s="89">
        <v>21</v>
      </c>
      <c r="B22" s="89" t="s">
        <v>1640</v>
      </c>
      <c r="C22" s="90">
        <v>4</v>
      </c>
      <c r="D22" s="2"/>
      <c r="E22" s="90">
        <v>4</v>
      </c>
      <c r="F22" s="2"/>
      <c r="H22" s="90" t="s">
        <v>1578</v>
      </c>
      <c r="I22" s="90" t="s">
        <v>1579</v>
      </c>
      <c r="J22" s="90" t="s">
        <v>1515</v>
      </c>
      <c r="L22" s="90" t="s">
        <v>1634</v>
      </c>
      <c r="M22" s="90" t="s">
        <v>1581</v>
      </c>
      <c r="N22" s="90" t="s">
        <v>1598</v>
      </c>
      <c r="O22" s="90" t="s">
        <v>1570</v>
      </c>
      <c r="Q22" s="90" t="s">
        <v>1591</v>
      </c>
      <c r="T22" s="90" t="s">
        <v>1550</v>
      </c>
      <c r="U22" s="90" t="s">
        <v>1637</v>
      </c>
      <c r="V22" s="90" t="s">
        <v>1530</v>
      </c>
      <c r="W22" s="90" t="s">
        <v>1532</v>
      </c>
      <c r="X22" s="90" t="s">
        <v>1534</v>
      </c>
      <c r="Y22" s="90" t="s">
        <v>1536</v>
      </c>
      <c r="Z22" s="90" t="s">
        <v>1639</v>
      </c>
      <c r="AC22" s="90" t="s">
        <v>1611</v>
      </c>
      <c r="AF22" s="90" t="s">
        <v>1542</v>
      </c>
      <c r="AI22" s="90" t="s">
        <v>1613</v>
      </c>
      <c r="AP22" s="98" t="str">
        <f>CONCATENATE( C1,C22,CHAR(10), D1,D22,CHAR(10), E1,E22,CHAR(10), F1,F22,CHAR(10), G1,G22,CHAR(10), H1,H22,CHAR(10), I1,I22,CHAR(10), J1,J22,CHAR(10), K1,K22,CHAR(10), L1,L22,CHAR(10), M1,M22,CHAR(10), N1,N22,CHAR(10), O1,O22,CHAR(10), P1,P22,CHAR(10), Q1,Q22,CHAR(10), R1,R22,CHAR(10), S1,S22,CHAR(10), U1,U22,CHAR(10), V1,V22,CHAR(10), W1,W22,CHAR(10), X1,X22,CHAR(10), Y1,Y22,CHAR(10), Z1,Z22,CHAR(10), AA1,AA22,CHAR(10), AB1,AB22,CHAR(10), AC1,AC22,CHAR(10), AD1,AD22,CHAR(10), AE1,AE22,CHAR(10), AF1,AF22,CHAR(10), AG1,AG22,CHAR(10), AH1,AH22,CHAR(10), AI1,AI22,CHAR(10), AJ1,AJ22,CHAR(10), AK1,AK22,CHAR(10), AL1,AL22,CHAR(10), AM1,AM22,CHAR(10), AN1,AN22,CHAR(10), AO1,AO22,CHAR(10),  )</f>
        <v xml:space="preserve">Количество ручных микрофонов в комплекте:4
Количество универсальных микрофонных радиопередатчиков конденсаторного типа:
Количество антенн:4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
Количество перестраиваемых радиоканалов:4х100 интервал 25КГц
Соотношение сигнал/шум:&gt;90 dB
Пиковая девиация: ±80кГц
Тип микрофонного капсюля:конденсаторный
Тип микрофонного капсула (гарнитура петличка):
Частотный диапазон микрофонного капсюля:30Гц-20кГц
Частотный диапазон микрофонного передатчика:
Частотный диапазон поясного передатчика:
Способ отображения информации на базе:4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передатчика:420 + 2х30мм (крепления в рэк) х 44 х 210
Размеры ручного передатчика с капсюлем:
Размеры микрофона динамический:
Размеры микрофона конденсаторный:10х155х10 мм
Вес петличного микрофона:
Размеры передатчика петлички:
Вес приёмника:1750 гр.
Вес радио микрофонного передатчика без капсюля:
Вес передатчика ручного динамического:
Вес передатчика универсального конденсаторного:100 гр.
Вес капсюля:
Вес передатчика поясного для гарнитуры и петлички:
Вес гарнитуры: 
Вес гарнитурного микрофона:
Описание
Тип крепления:
</v>
      </c>
      <c r="AQ22" s="146">
        <v>34900</v>
      </c>
      <c r="AR22" s="72" t="s">
        <v>1827</v>
      </c>
      <c r="AS22" s="72" t="str">
        <f t="shared" si="0"/>
        <v>Радиосистема  MCF 4-GF-Конденсаторные (универсальные) 4</v>
      </c>
      <c r="AT22" s="72" t="str">
        <f t="shared" si="1"/>
        <v>Радиосистема  MCF 4-GF-Конденсаторные (универсальные) 4</v>
      </c>
      <c r="AU22" s="72" t="s">
        <v>1840</v>
      </c>
      <c r="AV22" s="15"/>
      <c r="AW22" s="72" t="s">
        <v>1837</v>
      </c>
      <c r="AX22" s="72" t="s">
        <v>1841</v>
      </c>
      <c r="AY22" s="72" t="s">
        <v>1842</v>
      </c>
      <c r="AZ22" s="72" t="s">
        <v>1843</v>
      </c>
      <c r="BA22" s="72" t="s">
        <v>1844</v>
      </c>
      <c r="BB22" s="72" t="s">
        <v>1951</v>
      </c>
    </row>
    <row r="23" spans="1:54" ht="248.25" customHeight="1" x14ac:dyDescent="0.25">
      <c r="A23" s="89">
        <v>22</v>
      </c>
      <c r="B23" s="89" t="s">
        <v>1641</v>
      </c>
      <c r="C23" s="90">
        <v>2</v>
      </c>
      <c r="D23" s="2"/>
      <c r="E23" s="90">
        <v>2</v>
      </c>
      <c r="F23" s="2"/>
      <c r="G23" s="90" t="s">
        <v>1626</v>
      </c>
      <c r="H23" s="90"/>
      <c r="I23" s="90" t="s">
        <v>1513</v>
      </c>
      <c r="J23" s="90" t="s">
        <v>1515</v>
      </c>
      <c r="K23" s="90" t="s">
        <v>1580</v>
      </c>
      <c r="M23" s="90" t="s">
        <v>1642</v>
      </c>
      <c r="N23" s="90" t="s">
        <v>1623</v>
      </c>
      <c r="O23" s="90" t="s">
        <v>1522</v>
      </c>
      <c r="Q23" s="90" t="s">
        <v>1643</v>
      </c>
      <c r="T23" s="90" t="s">
        <v>1526</v>
      </c>
      <c r="U23" s="90" t="s">
        <v>1528</v>
      </c>
      <c r="V23" s="90" t="s">
        <v>1530</v>
      </c>
      <c r="W23" s="90" t="s">
        <v>1532</v>
      </c>
      <c r="X23" s="90" t="s">
        <v>1534</v>
      </c>
      <c r="Y23" s="90" t="s">
        <v>1536</v>
      </c>
      <c r="Z23" s="90" t="s">
        <v>1644</v>
      </c>
      <c r="AB23" s="90" t="s">
        <v>1540</v>
      </c>
      <c r="AF23" s="90" t="s">
        <v>1645</v>
      </c>
      <c r="AH23" s="90" t="s">
        <v>1544</v>
      </c>
      <c r="AN23" s="54" t="s">
        <v>1652</v>
      </c>
      <c r="AP23" s="98" t="str">
        <f>CONCATENATE( C1,C23,CHAR(10), D1,D23,CHAR(10), E1,E23,CHAR(10), F1,F23,CHAR(10), G1,G23,CHAR(10), H1,H23,CHAR(10), I1,I23,CHAR(10), J1,J23,CHAR(10), K1,K23,CHAR(10), L1,L23,CHAR(10), M1,M23,CHAR(10), N1,N23,CHAR(10), O1,O23,CHAR(10), P1,P23,CHAR(10), Q1,Q23,CHAR(10), R1,R23,CHAR(10), S1,S23,CHAR(10), U1,U23,CHAR(10), V1,V23,CHAR(10), W1,W23,CHAR(10), X1,X23,CHAR(10), Y1,Y23,CHAR(10), Z1,Z23,CHAR(10), AA1,AA23,CHAR(10), AB1,AB23,CHAR(10), AC1,AC23,CHAR(10), AD1,AD23,CHAR(10), AE1,AE23,CHAR(10), AF1,AF23,CHAR(10), AG1,AG23,CHAR(10), AH1,AH23,CHAR(10), AI1,AI23,CHAR(10), AJ1,AJ23,CHAR(10), AK1,AK23,CHAR(10), AL1,AL23,CHAR(10), AM1,AM23,CHAR(10), AN1,AN23,CHAR(10), AO1,AO23,CHAR(10),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радиоканалов:620-780 MHz
Диапазон перенастраиваемых частот радиоканалов:
Стабильность частоты радиоканала:±0.005%
Мощность передатчика:10 мВт
Количество фиксированых радиоканалов:100х2
Количество перестраиваемых радиоканалов:
Соотношение сигнал/шум:≥ 105 dB
Пиковая девиация: ±45 KHz
Тип микрофонного капсюля:динамический
Тип микрофонного капсула (гарнитура петличка):
Частотный диапазон микрофонного капсюля:80-16000 Hz
Частотный диапазон микрофонного передатчика:
Частотный диапазон поясного передатчика:
Способ отображения информации на базе:LCD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передатчика:210х150х45 мм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приёмника:750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ОписаниеАвтоматический поиск свободного радиоканала, Настройка частоты передатчика по инфракрасному каналу
Тип крепления:
</v>
      </c>
      <c r="AQ23" s="89" t="s">
        <v>359</v>
      </c>
      <c r="AR23" s="72" t="s">
        <v>1827</v>
      </c>
      <c r="AS23" s="72" t="str">
        <f t="shared" si="0"/>
        <v>Радиосистема  MCF U-3600 2</v>
      </c>
      <c r="AT23" s="72" t="str">
        <f t="shared" si="1"/>
        <v>Радиосистема  MCF U-3600 2</v>
      </c>
      <c r="AU23" s="72" t="s">
        <v>1840</v>
      </c>
      <c r="AW23" s="72" t="s">
        <v>1837</v>
      </c>
      <c r="AX23" s="72" t="s">
        <v>1841</v>
      </c>
      <c r="AY23" s="72" t="s">
        <v>1842</v>
      </c>
      <c r="AZ23" s="72" t="s">
        <v>1843</v>
      </c>
      <c r="BA23" s="72" t="s">
        <v>1844</v>
      </c>
      <c r="BB23" s="72" t="s">
        <v>1951</v>
      </c>
    </row>
    <row r="24" spans="1:54" ht="248.25" customHeight="1" x14ac:dyDescent="0.25">
      <c r="A24" s="89">
        <v>23</v>
      </c>
      <c r="B24" s="89" t="s">
        <v>1646</v>
      </c>
      <c r="C24" s="90">
        <v>2</v>
      </c>
      <c r="D24" s="2"/>
      <c r="E24" s="90">
        <v>2</v>
      </c>
      <c r="F24" s="2"/>
      <c r="H24" s="90" t="s">
        <v>1578</v>
      </c>
      <c r="I24" s="90" t="s">
        <v>1579</v>
      </c>
      <c r="J24" s="90" t="s">
        <v>1515</v>
      </c>
      <c r="L24" s="90" t="s">
        <v>1647</v>
      </c>
      <c r="M24" s="90" t="s">
        <v>1581</v>
      </c>
      <c r="N24" s="90" t="s">
        <v>1598</v>
      </c>
      <c r="O24" s="90" t="s">
        <v>1522</v>
      </c>
      <c r="Q24" s="90" t="s">
        <v>1583</v>
      </c>
      <c r="R24" s="90" t="s">
        <v>1585</v>
      </c>
      <c r="T24" s="90" t="s">
        <v>1550</v>
      </c>
      <c r="U24" s="90" t="s">
        <v>1586</v>
      </c>
      <c r="V24" s="90" t="s">
        <v>1530</v>
      </c>
      <c r="W24" s="90" t="s">
        <v>1532</v>
      </c>
      <c r="X24" s="90" t="s">
        <v>1534</v>
      </c>
      <c r="Y24" s="90" t="s">
        <v>1536</v>
      </c>
      <c r="Z24" s="90" t="s">
        <v>1676</v>
      </c>
      <c r="AB24" s="90" t="s">
        <v>1540</v>
      </c>
      <c r="AF24" s="90" t="s">
        <v>1648</v>
      </c>
      <c r="AH24" s="90" t="s">
        <v>1544</v>
      </c>
      <c r="AP24" s="98" t="str">
        <f>CONCATENATE( C1,C24,CHAR(10), D1,D24,CHAR(10), E1,E24,CHAR(10), F1,F24,CHAR(10), G1,G24,CHAR(10), H1,H24,CHAR(10), I1,I24,CHAR(10), J1,J24,CHAR(10), K1,K24,CHAR(10), L1,L24,CHAR(10), M1,M24,CHAR(10), N1,N24,CHAR(10), O1,O24,CHAR(10), P1,P24,CHAR(10), Q1,Q24,CHAR(10), R1,R24,CHAR(10), S1,S24,CHAR(10), U1,U24,CHAR(10), V1,V24,CHAR(10), W1,W24,CHAR(10), X1,X24,CHAR(10), Y1,Y24,CHAR(10), Z1,Z24,CHAR(10), AA1,AA24,CHAR(10), AB1,AB24,CHAR(10), AC1,AC24,CHAR(10), AD1,AD24,CHAR(10), AE1,AE24,CHAR(10), AF1,AF24,CHAR(10), AG1,AG24,CHAR(10), AH1,AH24,CHAR(10), AI1,AI24,CHAR(10), AJ1,AJ24,CHAR(10), AK1,AK24,CHAR(10), AL1,AL24,CHAR(10), AM1,AM24,CHAR(10), AN1,AN24,CHAR(10), AO1,AO24,CHAR(10),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антенн:2
Кол-во капсюлей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
Количество перестраиваемых радиоканалов:2х200 интервал 25КГц
Соотношение сигнал/шум:&gt;90 dB
Пиковая девиация: ±80кГц
Тип микрофонного капсюля:динамический
Тип микрофонного капсула (гарнитура петличка):
Частотный диапазон микрофонного капсюля:30Гц-20кГц /±3дБ
Частотный диапазон микрофонного передатчика:30Гц-21кГц /±3дБ
Частотный диапазон поясного передатчика:
Способ отображения информации на базе:2 LCD дисплея
Питание передатчика (микрофона):3V, 2 батареи АА
Время работы передатчика от батарей:6- 12 часов
Дальность уверенного приема на открытом пространстве:до 100 м
Диапазон эксплуатационных температур:от -10 до +40 С°
Размеры радио передатчика:480 (с учетом крепления в рэк)х44х210
Размеры ручного передатчика с капсюлем:
Размеры микрофона динамический:50х270х50 мм
Размеры микрофона конденсаторный:
Вес петличного микрофона:
Размеры передатчика петлички:
Вес приёмника:1700 гр.
Вес радио микрофонного передатчика без капсюля:
Вес передатчика ручного динамического:330 гр.
Вес передатчика универсального конденсаторного:
Вес капсюля:
Вес передатчика поясного для гарнитуры и петлички:
Вес гарнитуры: 
Вес гарнитурного микрофона:
Описание
Тип крепления:
</v>
      </c>
      <c r="AQ24" s="146">
        <v>19900</v>
      </c>
      <c r="AR24" s="72" t="s">
        <v>1827</v>
      </c>
      <c r="AS24" s="72" t="str">
        <f t="shared" si="0"/>
        <v>Радиосистема  MCF PLL-200 2</v>
      </c>
      <c r="AT24" s="72" t="str">
        <f t="shared" si="1"/>
        <v>Радиосистема  MCF PLL-200 2</v>
      </c>
      <c r="AU24" s="72" t="s">
        <v>1840</v>
      </c>
      <c r="AW24" s="72" t="s">
        <v>1837</v>
      </c>
      <c r="AX24" s="72" t="s">
        <v>1841</v>
      </c>
      <c r="AY24" s="72" t="s">
        <v>1842</v>
      </c>
      <c r="AZ24" s="72" t="s">
        <v>1843</v>
      </c>
      <c r="BA24" s="72" t="s">
        <v>1844</v>
      </c>
      <c r="BB24" s="72" t="s">
        <v>1951</v>
      </c>
    </row>
    <row r="25" spans="1:54" ht="248.25" customHeight="1" x14ac:dyDescent="0.25">
      <c r="A25" s="89">
        <v>24</v>
      </c>
      <c r="B25" s="89" t="s">
        <v>1649</v>
      </c>
      <c r="C25" s="90">
        <v>2</v>
      </c>
      <c r="D25" s="2"/>
      <c r="E25" s="2"/>
      <c r="F25" s="90" t="s">
        <v>1668</v>
      </c>
      <c r="H25" s="90" t="s">
        <v>1578</v>
      </c>
      <c r="I25" s="90" t="s">
        <v>1579</v>
      </c>
      <c r="J25" s="90" t="s">
        <v>1515</v>
      </c>
      <c r="K25" s="90" t="s">
        <v>1647</v>
      </c>
      <c r="M25" s="90" t="s">
        <v>1581</v>
      </c>
      <c r="N25" s="90" t="s">
        <v>1598</v>
      </c>
      <c r="O25" s="90" t="s">
        <v>1522</v>
      </c>
      <c r="Q25" s="90" t="s">
        <v>1583</v>
      </c>
      <c r="R25" s="90" t="s">
        <v>1585</v>
      </c>
      <c r="T25" s="90" t="s">
        <v>1599</v>
      </c>
      <c r="U25" s="90" t="s">
        <v>1551</v>
      </c>
      <c r="V25" s="90" t="s">
        <v>1530</v>
      </c>
      <c r="W25" s="90" t="s">
        <v>1669</v>
      </c>
      <c r="X25" s="90" t="s">
        <v>1534</v>
      </c>
      <c r="Y25" s="90" t="s">
        <v>1536</v>
      </c>
      <c r="Z25" s="90" t="s">
        <v>1676</v>
      </c>
      <c r="AA25" s="90" t="s">
        <v>1602</v>
      </c>
      <c r="AF25" s="90" t="s">
        <v>1648</v>
      </c>
      <c r="AG25" s="90" t="s">
        <v>1604</v>
      </c>
      <c r="AJ25" s="90" t="s">
        <v>1606</v>
      </c>
      <c r="AP25" s="98" t="str">
        <f>CONCATENATE( C1,C25,CHAR(10), D1,D25,CHAR(10), E1,E25,CHAR(10), F1,F25,CHAR(10), G1,G25,CHAR(10), H1,H25,CHAR(10), I1,I25,CHAR(10), J1,J25,CHAR(10), K1,K25,CHAR(10), L1,L25,CHAR(10), M1,M25,CHAR(10), N1,N25,CHAR(10), O1,O25,CHAR(10), P1,P25,CHAR(10), Q1,Q25,CHAR(10), R1,R25,CHAR(10), S1,S25,CHAR(10), U1,U25,CHAR(10), V1,V25,CHAR(10), W1,W25,CHAR(10), X1,X25,CHAR(10), Y1,Y25,CHAR(10), Z1,Z25,CHAR(10), AA1,AA25,CHAR(10), AB1,AB25,CHAR(10), AC1,AC25,CHAR(10), AD1,AD25,CHAR(10), AE1,AE25,CHAR(10), AF1,AF25,CHAR(10), AG1,AG25,CHAR(10), AH1,AH25,CHAR(10), AI1,AI25,CHAR(10), AJ1,AJ25,CHAR(10), AK1,AK25,CHAR(10), AL1,AL25,CHAR(10), AM1,AM25,CHAR(10), AN1,AN25,CHAR(10), AO1,AO25,CHAR(10),  )</f>
        <v xml:space="preserve">Количество ручных микрофонов в комплекте:2
Количество универсальных микрофонных радиопередатчиков конденсаторного типа:
Количество антенн:
Кол-во капсюлей2 (кардиоида), 2 (суперкардиоида)
Диапазон фиксируемых частот радиоканалов:
Диапазон перенастраиваемых частот радиоканалов:640-857МГц
Стабильность частоты радиоканала:±0.0005%
Мощность передатчика:10 мВт
Количество фиксированых радиоканалов:2х200 интервал 25КГц
Количество перестраиваемых радиоканалов:
Соотношение сигнал/шум:&gt;90 dB
Пиковая девиация: ±80кГц
Тип микрофонного капсюля:динамический
Тип микрофонного капсула (гарнитура петличка):
Частотный диапазон микрофонного капсюля:30Гц-20кГц /±3дБ
Частотный диапазон микрофонного передатчика:30Гц-21кГц /±3дБ
Частотный диапазон поясного передатчика:
Способ отображения информации на базе:LCD дисплей
Питание передатчика (микрофона):3V, 2 батареи АА
Время работы передатчика от батарей:не менее 6- 12 часов
Дальность уверенного приема на открытом пространстве:до 100 м
Диапазон эксплуатационных температур:от -10 до +40 С°
Размеры радио передатчика:480 (с учетом крепления в рэк)х44х210
Размеры ручного передатчика с капсюлем:53х272х53 мм
Размеры микрофона динамический:
Размеры микрофона конденсаторный:
Вес петличного микрофона:
Размеры передатчика петлички:
Вес приёмника:1700 гр.
Вес радио микрофонного передатчика без капсюля:220 гр.
Вес передатчика ручного динамического:
Вес передатчика универсального конденсаторного:
Вес капсюля:210 гр.
Вес передатчика поясного для гарнитуры и петлички:
Вес гарнитуры: 
Вес гарнитурного микрофона:
Описание
Тип крепления:
</v>
      </c>
      <c r="AQ25" s="89" t="s">
        <v>680</v>
      </c>
      <c r="AR25" s="72" t="s">
        <v>1827</v>
      </c>
      <c r="AS25" s="72" t="str">
        <f t="shared" si="0"/>
        <v>Радиосистема  MCF PLL-200 NEXT 2</v>
      </c>
      <c r="AT25" s="72" t="str">
        <f t="shared" si="1"/>
        <v>Радиосистема  MCF PLL-200 NEXT 2</v>
      </c>
      <c r="AU25" s="72" t="s">
        <v>1840</v>
      </c>
      <c r="AW25" s="72" t="s">
        <v>1837</v>
      </c>
      <c r="AX25" s="72" t="s">
        <v>1841</v>
      </c>
      <c r="AY25" s="72" t="s">
        <v>1842</v>
      </c>
      <c r="AZ25" s="72" t="s">
        <v>1843</v>
      </c>
      <c r="BA25" s="72" t="s">
        <v>1844</v>
      </c>
      <c r="BB25" s="72" t="s">
        <v>1951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X45"/>
  <sheetViews>
    <sheetView zoomScale="70" zoomScaleNormal="70" workbookViewId="0">
      <pane ySplit="1" topLeftCell="A2" activePane="bottomLeft" state="frozen"/>
      <selection pane="bottomLeft" activeCell="L2" sqref="L2"/>
    </sheetView>
  </sheetViews>
  <sheetFormatPr defaultRowHeight="15" x14ac:dyDescent="0.25"/>
  <cols>
    <col min="1" max="1" width="6.28515625" style="130" customWidth="1"/>
    <col min="2" max="2" width="9.140625" style="111"/>
    <col min="3" max="3" width="13.7109375" style="111" hidden="1" customWidth="1"/>
    <col min="4" max="4" width="23.140625" style="111" hidden="1" customWidth="1"/>
    <col min="5" max="5" width="11.5703125" style="111" hidden="1" customWidth="1"/>
    <col min="6" max="6" width="13.85546875" style="111" hidden="1" customWidth="1"/>
    <col min="7" max="7" width="13" style="111" hidden="1" customWidth="1"/>
    <col min="8" max="8" width="50" style="111" hidden="1" customWidth="1"/>
    <col min="9" max="9" width="0" style="111" hidden="1" customWidth="1"/>
    <col min="10" max="10" width="11" style="111" hidden="1" customWidth="1"/>
    <col min="11" max="11" width="9.140625" style="111"/>
    <col min="12" max="12" width="57.5703125" style="111" customWidth="1"/>
    <col min="13" max="14" width="9.140625" style="111"/>
    <col min="15" max="16" width="42.28515625" style="111" bestFit="1" customWidth="1"/>
    <col min="17" max="16384" width="9.140625" style="111"/>
  </cols>
  <sheetData>
    <row r="1" spans="1:24" s="129" customFormat="1" ht="30" x14ac:dyDescent="0.25">
      <c r="A1" s="129" t="s">
        <v>636</v>
      </c>
      <c r="B1" s="129" t="s">
        <v>1745</v>
      </c>
      <c r="C1" s="129" t="s">
        <v>1744</v>
      </c>
      <c r="D1" s="125" t="s">
        <v>1679</v>
      </c>
      <c r="E1" s="125" t="s">
        <v>1680</v>
      </c>
      <c r="F1" s="125" t="s">
        <v>1681</v>
      </c>
      <c r="G1" s="125" t="s">
        <v>111</v>
      </c>
      <c r="H1" s="125" t="s">
        <v>386</v>
      </c>
      <c r="I1" s="125" t="s">
        <v>384</v>
      </c>
      <c r="J1" s="125" t="s">
        <v>115</v>
      </c>
      <c r="K1" s="125" t="s">
        <v>375</v>
      </c>
      <c r="L1" s="125" t="s">
        <v>1651</v>
      </c>
      <c r="M1" s="125" t="s">
        <v>1</v>
      </c>
      <c r="N1" s="74" t="s">
        <v>1826</v>
      </c>
      <c r="O1" s="74" t="s">
        <v>1828</v>
      </c>
      <c r="P1" s="74" t="s">
        <v>1829</v>
      </c>
      <c r="Q1" s="74" t="s">
        <v>1830</v>
      </c>
      <c r="R1" s="74" t="s">
        <v>1831</v>
      </c>
      <c r="S1" s="74" t="s">
        <v>1832</v>
      </c>
      <c r="T1" s="74" t="s">
        <v>1833</v>
      </c>
      <c r="U1" s="74" t="s">
        <v>1834</v>
      </c>
      <c r="V1" s="74" t="s">
        <v>1835</v>
      </c>
      <c r="W1" s="74" t="s">
        <v>1836</v>
      </c>
      <c r="X1" s="74" t="s">
        <v>1845</v>
      </c>
    </row>
    <row r="2" spans="1:24" ht="195" x14ac:dyDescent="0.25">
      <c r="A2" s="130">
        <v>1</v>
      </c>
      <c r="B2" s="111" t="s">
        <v>1677</v>
      </c>
      <c r="C2" s="108" t="s">
        <v>1678</v>
      </c>
      <c r="D2" s="111" t="s">
        <v>1746</v>
      </c>
      <c r="E2" s="108">
        <v>2</v>
      </c>
      <c r="F2" s="108" t="s">
        <v>1952</v>
      </c>
      <c r="G2" s="108" t="s">
        <v>1682</v>
      </c>
      <c r="H2" s="111" t="s">
        <v>1750</v>
      </c>
      <c r="I2" s="108" t="s">
        <v>1683</v>
      </c>
      <c r="J2" s="108" t="s">
        <v>1684</v>
      </c>
      <c r="K2" s="108">
        <v>9</v>
      </c>
      <c r="L2" s="108" t="str">
        <f>CONCATENATE( C1,C2,CHAR(10), D1,D2,CHAR(10), E1,E2,CHAR(10), F1,F2,CHAR(10), G1,G2,CHAR(10), H1,H2,CHAR(10), I1,I2,CHAR(10), J1,J2,CHAR(10), K1,K2,CHAR(10), )</f>
        <v xml:space="preserve">типУсилитель мощности
Выходная мощность:8ΩSTEREO: 2 x 550, Вт4ΩSTEREO: 2 x 780, Вт2ΩSTEREO: 2 x 1000 Вт
Каналов:2
АЧХ:20 Гц - 20ц (±0,5 дБ)
Отношение сигнал/шум:&gt;93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Размеры:488х450х45 мм (1U)
Вес:9
</v>
      </c>
      <c r="M2" s="131">
        <v>37900</v>
      </c>
      <c r="N2" s="72" t="s">
        <v>1827</v>
      </c>
      <c r="O2" s="72" t="str">
        <f>CONCATENATE(C2," ",B2,)</f>
        <v xml:space="preserve">Усилитель мощности MCF DCS-500S Zvezdec </v>
      </c>
      <c r="P2" s="72" t="str">
        <f>O2</f>
        <v xml:space="preserve">Усилитель мощности MCF DCS-500S Zvezdec </v>
      </c>
      <c r="Q2" s="72" t="s">
        <v>1840</v>
      </c>
      <c r="R2" s="72"/>
      <c r="S2" s="72" t="s">
        <v>1837</v>
      </c>
      <c r="T2" s="72" t="s">
        <v>1841</v>
      </c>
      <c r="U2" s="72" t="s">
        <v>1842</v>
      </c>
      <c r="V2" s="72" t="s">
        <v>1843</v>
      </c>
      <c r="W2" s="72" t="s">
        <v>1844</v>
      </c>
      <c r="X2" s="72" t="s">
        <v>1837</v>
      </c>
    </row>
    <row r="3" spans="1:24" ht="195" x14ac:dyDescent="0.25">
      <c r="A3" s="130">
        <v>2</v>
      </c>
      <c r="B3" s="111" t="s">
        <v>1685</v>
      </c>
      <c r="C3" s="108" t="s">
        <v>1678</v>
      </c>
      <c r="D3" s="111" t="s">
        <v>1747</v>
      </c>
      <c r="E3" s="108">
        <v>2</v>
      </c>
      <c r="F3" s="108" t="s">
        <v>1952</v>
      </c>
      <c r="G3" s="108" t="s">
        <v>1682</v>
      </c>
      <c r="H3" s="111" t="s">
        <v>1750</v>
      </c>
      <c r="I3" s="108" t="s">
        <v>1683</v>
      </c>
      <c r="J3" s="108" t="s">
        <v>1684</v>
      </c>
      <c r="K3" s="108" t="s">
        <v>1953</v>
      </c>
      <c r="L3" s="108" t="str">
        <f>CONCATENATE( C1,C3,CHAR(10), D1,D3,CHAR(10), E1,E3,CHAR(10), F1,F3,CHAR(10), G1,G3,CHAR(10), H1,H3,CHAR(10), I1,I3,CHAR(10), J1,J3,CHAR(10), K1,K3,CHAR(10), )</f>
        <v xml:space="preserve">типУсилитель мощности
Выходная мощность:8Ω STEREO: 2 x 800, Вт4Ω STEREO: 2 x 1200, Вт2ΩSTEREO: 2 x 1500 Вт
Каналов:2
АЧХ:20 Гц - 20ц (±0,5 дБ)
Отношение сигнал/шум:&gt;93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Размеры:488х450х45 мм (1U)
Вес:9,5
</v>
      </c>
      <c r="M3" s="131">
        <v>44900</v>
      </c>
      <c r="N3" s="72" t="s">
        <v>1827</v>
      </c>
      <c r="O3" s="72" t="str">
        <f t="shared" ref="O3:O45" si="0">CONCATENATE(C3," ",B3,)</f>
        <v xml:space="preserve">Усилитель мощности MCF DCS-800S Zvezdec </v>
      </c>
      <c r="P3" s="72" t="str">
        <f t="shared" ref="P3:P45" si="1">O3</f>
        <v xml:space="preserve">Усилитель мощности MCF DCS-800S Zvezdec </v>
      </c>
      <c r="Q3" s="72" t="s">
        <v>1840</v>
      </c>
      <c r="R3" s="15"/>
      <c r="S3" s="72" t="s">
        <v>1837</v>
      </c>
      <c r="T3" s="72" t="s">
        <v>1841</v>
      </c>
      <c r="U3" s="72" t="s">
        <v>1842</v>
      </c>
      <c r="V3" s="72" t="s">
        <v>1843</v>
      </c>
      <c r="W3" s="72" t="s">
        <v>1844</v>
      </c>
      <c r="X3" s="72" t="s">
        <v>1837</v>
      </c>
    </row>
    <row r="4" spans="1:24" ht="210" x14ac:dyDescent="0.25">
      <c r="A4" s="130">
        <v>3</v>
      </c>
      <c r="B4" s="111" t="s">
        <v>1686</v>
      </c>
      <c r="C4" s="111" t="s">
        <v>1687</v>
      </c>
      <c r="D4" s="111" t="s">
        <v>1748</v>
      </c>
      <c r="E4" s="108">
        <v>2</v>
      </c>
      <c r="F4" s="108" t="s">
        <v>1954</v>
      </c>
      <c r="G4" s="108" t="s">
        <v>1688</v>
      </c>
      <c r="H4" s="111" t="s">
        <v>1750</v>
      </c>
      <c r="I4" s="108" t="s">
        <v>1683</v>
      </c>
      <c r="J4" s="108" t="s">
        <v>1689</v>
      </c>
      <c r="K4" s="108" t="s">
        <v>1955</v>
      </c>
      <c r="L4" s="108" t="str">
        <f>CONCATENATE( C1,C4,CHAR(10), D1,D4,CHAR(10), E1,E4,CHAR(10), F1,F4,CHAR(10), G1,G4,CHAR(10), H1,H4,CHAR(10), I1,I4,CHAR(10), J1,J4,CHAR(10), K1,K4,CHAR(10), )</f>
        <v xml:space="preserve">типУсилитель мощности цифровой с DSP контролем и USB интерфейсом
Выходная мощность:8Ω STEREO: 2 x 550 Вт4Ω STEREO: 2 x 750 Вт2Ω STEREO: 2 x 950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Размеры:485х383х45 мм (1U)
Вес:6,9
</v>
      </c>
      <c r="M4" s="131">
        <v>39900</v>
      </c>
      <c r="N4" s="72" t="s">
        <v>1827</v>
      </c>
      <c r="O4" s="72" t="str">
        <f t="shared" si="0"/>
        <v xml:space="preserve">Усилитель мощности цифровой с DSP контролем и USB интерфейсом MCF D-2.5L Zhara      </v>
      </c>
      <c r="P4" s="72" t="str">
        <f t="shared" si="1"/>
        <v xml:space="preserve">Усилитель мощности цифровой с DSP контролем и USB интерфейсом MCF D-2.5L Zhara      </v>
      </c>
      <c r="Q4" s="72" t="s">
        <v>1840</v>
      </c>
      <c r="R4" s="15"/>
      <c r="S4" s="72" t="s">
        <v>1837</v>
      </c>
      <c r="T4" s="72" t="s">
        <v>1841</v>
      </c>
      <c r="U4" s="72" t="s">
        <v>1842</v>
      </c>
      <c r="V4" s="72" t="s">
        <v>1843</v>
      </c>
      <c r="W4" s="72" t="s">
        <v>1844</v>
      </c>
      <c r="X4" s="72" t="s">
        <v>1837</v>
      </c>
    </row>
    <row r="5" spans="1:24" ht="195" x14ac:dyDescent="0.25">
      <c r="A5" s="130">
        <v>4</v>
      </c>
      <c r="B5" s="111" t="s">
        <v>1677</v>
      </c>
      <c r="C5" s="108" t="s">
        <v>1678</v>
      </c>
      <c r="D5" s="111" t="s">
        <v>1749</v>
      </c>
      <c r="E5" s="108">
        <v>2</v>
      </c>
      <c r="F5" s="108" t="s">
        <v>1952</v>
      </c>
      <c r="G5" s="108" t="s">
        <v>1682</v>
      </c>
      <c r="H5" s="111" t="s">
        <v>1750</v>
      </c>
      <c r="I5" s="108" t="s">
        <v>1683</v>
      </c>
      <c r="J5" s="108" t="s">
        <v>1684</v>
      </c>
      <c r="K5" s="108">
        <v>9</v>
      </c>
      <c r="L5" s="108" t="str">
        <f>CONCATENATE( C1,C5,CHAR(10), D1,D5,CHAR(10), E1,E5,CHAR(10), F1,F5,CHAR(10), G1,G5,CHAR(10), H1,H5,CHAR(10), I1,I5,CHAR(10), J1,J5,CHAR(10), K1,K5,CHAR(10), )</f>
        <v xml:space="preserve">типУсилитель мощности
Выходная мощность:8ΩSTEREO: 2 x 550 Вт4ΩSTEREO: 2 x 780 Вт2ΩSTEREO: 2 x 1000 Вт
Каналов:2
АЧХ:20 Гц - 20ц (±0,5 дБ)
Отношение сигнал/шум:&gt;93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Размеры:488х450х45 мм (1U)
Вес:9
</v>
      </c>
      <c r="M5" s="131">
        <v>37900</v>
      </c>
      <c r="N5" s="72" t="s">
        <v>1827</v>
      </c>
      <c r="O5" s="72" t="str">
        <f t="shared" si="0"/>
        <v xml:space="preserve">Усилитель мощности MCF DCS-500S Zvezdec </v>
      </c>
      <c r="P5" s="72" t="str">
        <f t="shared" si="1"/>
        <v xml:space="preserve">Усилитель мощности MCF DCS-500S Zvezdec </v>
      </c>
      <c r="Q5" s="72" t="s">
        <v>1840</v>
      </c>
      <c r="R5" s="15"/>
      <c r="S5" s="72" t="s">
        <v>1837</v>
      </c>
      <c r="T5" s="72" t="s">
        <v>1841</v>
      </c>
      <c r="U5" s="72" t="s">
        <v>1842</v>
      </c>
      <c r="V5" s="72" t="s">
        <v>1843</v>
      </c>
      <c r="W5" s="72" t="s">
        <v>1844</v>
      </c>
      <c r="X5" s="72" t="s">
        <v>1837</v>
      </c>
    </row>
    <row r="6" spans="1:24" ht="195" x14ac:dyDescent="0.25">
      <c r="A6" s="130">
        <v>5</v>
      </c>
      <c r="B6" s="111" t="s">
        <v>1685</v>
      </c>
      <c r="C6" s="108" t="s">
        <v>1678</v>
      </c>
      <c r="D6" s="111" t="s">
        <v>1747</v>
      </c>
      <c r="E6" s="108">
        <v>2</v>
      </c>
      <c r="F6" s="108" t="s">
        <v>1952</v>
      </c>
      <c r="G6" s="108" t="s">
        <v>1682</v>
      </c>
      <c r="H6" s="111" t="s">
        <v>1750</v>
      </c>
      <c r="I6" s="108" t="s">
        <v>1683</v>
      </c>
      <c r="J6" s="108" t="s">
        <v>1684</v>
      </c>
      <c r="K6" s="108" t="s">
        <v>1953</v>
      </c>
      <c r="L6" s="108" t="str">
        <f>CONCATENATE( C1,C6,CHAR(10), D1,D6,CHAR(10), E1,E6,CHAR(10), F1,F6,CHAR(10), G1,G6,CHAR(10), H1,H6,CHAR(10), I1,I6,CHAR(10), J1,J6,CHAR(10), K1,K6,CHAR(10), )</f>
        <v xml:space="preserve">типУсилитель мощности
Выходная мощность:8Ω STEREO: 2 x 800, Вт4Ω STEREO: 2 x 1200, Вт2ΩSTEREO: 2 x 1500 Вт
Каналов:2
АЧХ:20 Гц - 20ц (±0,5 дБ)
Отношение сигнал/шум:&gt;93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Размеры:488х450х45 мм (1U)
Вес:9,5
</v>
      </c>
      <c r="M6" s="131">
        <v>44900</v>
      </c>
      <c r="N6" s="72" t="s">
        <v>1827</v>
      </c>
      <c r="O6" s="72" t="str">
        <f t="shared" si="0"/>
        <v xml:space="preserve">Усилитель мощности MCF DCS-800S Zvezdec </v>
      </c>
      <c r="P6" s="72" t="str">
        <f t="shared" si="1"/>
        <v xml:space="preserve">Усилитель мощности MCF DCS-800S Zvezdec </v>
      </c>
      <c r="Q6" s="72" t="s">
        <v>1840</v>
      </c>
      <c r="R6" s="15"/>
      <c r="S6" s="72" t="s">
        <v>1837</v>
      </c>
      <c r="T6" s="72" t="s">
        <v>1841</v>
      </c>
      <c r="U6" s="72" t="s">
        <v>1842</v>
      </c>
      <c r="V6" s="72" t="s">
        <v>1843</v>
      </c>
      <c r="W6" s="72" t="s">
        <v>1844</v>
      </c>
      <c r="X6" s="72" t="s">
        <v>1837</v>
      </c>
    </row>
    <row r="7" spans="1:24" ht="210" x14ac:dyDescent="0.25">
      <c r="A7" s="130">
        <v>6</v>
      </c>
      <c r="B7" s="111" t="s">
        <v>1690</v>
      </c>
      <c r="C7" s="111" t="s">
        <v>1687</v>
      </c>
      <c r="D7" s="111" t="s">
        <v>1748</v>
      </c>
      <c r="E7" s="108">
        <v>2</v>
      </c>
      <c r="F7" s="108" t="s">
        <v>1954</v>
      </c>
      <c r="G7" s="108" t="s">
        <v>1688</v>
      </c>
      <c r="H7" s="111" t="s">
        <v>1750</v>
      </c>
      <c r="I7" s="108" t="s">
        <v>1683</v>
      </c>
      <c r="J7" s="108" t="s">
        <v>1689</v>
      </c>
      <c r="K7" s="108" t="s">
        <v>1955</v>
      </c>
      <c r="L7" s="108" t="str">
        <f>CONCATENATE( C1,C7,CHAR(10), D1,D7,CHAR(10), E1,E7,CHAR(10), F1,F7,CHAR(10), G1,G7,CHAR(10), H1,H7,CHAR(10), I1,I7,CHAR(10), J1,J7,CHAR(10), K1,K7,CHAR(10), )</f>
        <v xml:space="preserve">типУсилитель мощности цифровой с DSP контролем и USB интерфейсом
Выходная мощность:8Ω STEREO: 2 x 550 Вт4Ω STEREO: 2 x 750 Вт2Ω STEREO: 2 x 950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Размеры:485х383х45 мм (1U)
Вес:6,9
</v>
      </c>
      <c r="M7" s="131">
        <v>39900</v>
      </c>
      <c r="N7" s="72" t="s">
        <v>1827</v>
      </c>
      <c r="O7" s="72" t="str">
        <f t="shared" si="0"/>
        <v xml:space="preserve">Усилитель мощности цифровой с DSP контролем и USB интерфейсом MCF D-2.5L Zhara </v>
      </c>
      <c r="P7" s="72" t="str">
        <f t="shared" si="1"/>
        <v xml:space="preserve">Усилитель мощности цифровой с DSP контролем и USB интерфейсом MCF D-2.5L Zhara </v>
      </c>
      <c r="Q7" s="72" t="s">
        <v>1840</v>
      </c>
      <c r="R7" s="15"/>
      <c r="S7" s="72" t="s">
        <v>1837</v>
      </c>
      <c r="T7" s="72" t="s">
        <v>1841</v>
      </c>
      <c r="U7" s="72" t="s">
        <v>1842</v>
      </c>
      <c r="V7" s="72" t="s">
        <v>1843</v>
      </c>
      <c r="W7" s="72" t="s">
        <v>1844</v>
      </c>
      <c r="X7" s="72" t="s">
        <v>1837</v>
      </c>
    </row>
    <row r="8" spans="1:24" ht="210" x14ac:dyDescent="0.25">
      <c r="A8" s="130">
        <v>7</v>
      </c>
      <c r="B8" s="111" t="s">
        <v>1691</v>
      </c>
      <c r="C8" s="111" t="s">
        <v>1687</v>
      </c>
      <c r="D8" s="111" t="s">
        <v>1751</v>
      </c>
      <c r="E8" s="108">
        <v>2</v>
      </c>
      <c r="F8" s="108" t="s">
        <v>1954</v>
      </c>
      <c r="G8" s="108" t="s">
        <v>1688</v>
      </c>
      <c r="H8" s="111" t="s">
        <v>1750</v>
      </c>
      <c r="I8" s="108" t="s">
        <v>1683</v>
      </c>
      <c r="J8" s="108" t="s">
        <v>1692</v>
      </c>
      <c r="K8" s="108" t="s">
        <v>1956</v>
      </c>
      <c r="L8" s="108" t="str">
        <f>CONCATENATE( C1,C8,CHAR(10), D1,D8,CHAR(10), E1,E8,CHAR(10), F1,F8,CHAR(10), G1,G8,CHAR(10), H1,H8,CHAR(10), I1,I8,CHAR(10), J1,J8,CHAR(10), K1,K8,CHAR(10), )</f>
        <v xml:space="preserve">типУсилитель мощности цифровой с DSP контролем и USB интерфейсом
Выходная мощность:8ΩSTEREO: 2 x 600 Вт4ΩSTEREO: 2 x 900 Вт2ΩSTEREO: 2 x 1200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Размеры:485х410х45 мм (1U)
Вес:8,2
</v>
      </c>
      <c r="M8" s="131">
        <v>42900</v>
      </c>
      <c r="N8" s="72" t="s">
        <v>1827</v>
      </c>
      <c r="O8" s="72" t="str">
        <f t="shared" si="0"/>
        <v xml:space="preserve">Усилитель мощности цифровой с DSP контролем и USB интерфейсом MCF D-2.6L Zhara </v>
      </c>
      <c r="P8" s="72" t="str">
        <f t="shared" si="1"/>
        <v xml:space="preserve">Усилитель мощности цифровой с DSP контролем и USB интерфейсом MCF D-2.6L Zhara </v>
      </c>
      <c r="Q8" s="72" t="s">
        <v>1840</v>
      </c>
      <c r="R8" s="15"/>
      <c r="S8" s="72" t="s">
        <v>1837</v>
      </c>
      <c r="T8" s="72" t="s">
        <v>1841</v>
      </c>
      <c r="U8" s="72" t="s">
        <v>1842</v>
      </c>
      <c r="V8" s="72" t="s">
        <v>1843</v>
      </c>
      <c r="W8" s="72" t="s">
        <v>1844</v>
      </c>
      <c r="X8" s="72" t="s">
        <v>1837</v>
      </c>
    </row>
    <row r="9" spans="1:24" ht="210" x14ac:dyDescent="0.25">
      <c r="A9" s="130">
        <v>8</v>
      </c>
      <c r="B9" s="111" t="s">
        <v>1693</v>
      </c>
      <c r="C9" s="111" t="s">
        <v>1687</v>
      </c>
      <c r="D9" s="111" t="s">
        <v>1752</v>
      </c>
      <c r="E9" s="108">
        <v>2</v>
      </c>
      <c r="F9" s="108" t="s">
        <v>1954</v>
      </c>
      <c r="G9" s="108" t="s">
        <v>1688</v>
      </c>
      <c r="H9" s="111" t="s">
        <v>1750</v>
      </c>
      <c r="I9" s="108" t="s">
        <v>1683</v>
      </c>
      <c r="J9" s="108" t="s">
        <v>1694</v>
      </c>
      <c r="K9" s="108" t="s">
        <v>1956</v>
      </c>
      <c r="L9" s="108" t="str">
        <f>CONCATENATE( C1,C9,CHAR(10), D1,D9,CHAR(10), E1,E9,CHAR(10), F1,F9,CHAR(10), G1,G9,CHAR(10), H1,H9,CHAR(10), I1,I9,CHAR(10), J1,J9,CHAR(10), K1,K9,CHAR(10), )</f>
        <v xml:space="preserve">типУсилитель мощности цифровой с DSP контролем и USB интерфейсом
Выходная мощность:8ΩSTEREO: 2 x 750 Вт4ΩSTEREO: 2 x 1200 Вт2ΩSTEREO: 2 x 1350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Размеры:485410х45 мм (1U)
Вес:8,2
</v>
      </c>
      <c r="M9" s="131">
        <v>44900</v>
      </c>
      <c r="N9" s="72" t="s">
        <v>1827</v>
      </c>
      <c r="O9" s="72" t="str">
        <f t="shared" si="0"/>
        <v xml:space="preserve">Усилитель мощности цифровой с DSP контролем и USB интерфейсом  MCF D-2.7L Zhara </v>
      </c>
      <c r="P9" s="72" t="str">
        <f t="shared" si="1"/>
        <v xml:space="preserve">Усилитель мощности цифровой с DSP контролем и USB интерфейсом  MCF D-2.7L Zhara </v>
      </c>
      <c r="Q9" s="72" t="s">
        <v>1840</v>
      </c>
      <c r="R9" s="15"/>
      <c r="S9" s="72" t="s">
        <v>1837</v>
      </c>
      <c r="T9" s="72" t="s">
        <v>1841</v>
      </c>
      <c r="U9" s="72" t="s">
        <v>1842</v>
      </c>
      <c r="V9" s="72" t="s">
        <v>1843</v>
      </c>
      <c r="W9" s="72" t="s">
        <v>1844</v>
      </c>
      <c r="X9" s="72" t="s">
        <v>1837</v>
      </c>
    </row>
    <row r="10" spans="1:24" ht="210" x14ac:dyDescent="0.25">
      <c r="A10" s="130">
        <v>9</v>
      </c>
      <c r="B10" s="111" t="s">
        <v>1695</v>
      </c>
      <c r="C10" s="111" t="s">
        <v>1687</v>
      </c>
      <c r="D10" s="111" t="s">
        <v>1753</v>
      </c>
      <c r="E10" s="108">
        <v>2</v>
      </c>
      <c r="F10" s="108" t="s">
        <v>1954</v>
      </c>
      <c r="G10" s="108" t="s">
        <v>1688</v>
      </c>
      <c r="H10" s="111" t="s">
        <v>1750</v>
      </c>
      <c r="I10" s="108" t="s">
        <v>1696</v>
      </c>
      <c r="J10" s="108" t="s">
        <v>1697</v>
      </c>
      <c r="K10" s="149">
        <v>43654</v>
      </c>
      <c r="L10" s="149" t="str">
        <f>CONCATENATE( C1,C10,CHAR(10), D1,D10,CHAR(10), E1,E10,CHAR(10), F1,F10,CHAR(10), G1,G10,CHAR(10), H1,H10,CHAR(10), I1,I10,CHAR(10), J1,J10,CHAR(10), K1,K10,CHAR(10), )</f>
        <v xml:space="preserve">типУсилитель мощности цифровой с DSP контролем и USB интерфейсом
Выходная мощность:8S STEREO: 2 х 800, Вт4S STEREO: 2 х 1200, Вт2S STEREO: 2 х 1500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Вт - 230 Вт, 50/60 Гц
Размеры:482х343х45мм (1U)
Вес:43654
</v>
      </c>
      <c r="M10" s="131">
        <v>47900</v>
      </c>
      <c r="N10" s="72" t="s">
        <v>1827</v>
      </c>
      <c r="O10" s="72" t="str">
        <f t="shared" si="0"/>
        <v>Усилитель мощности цифровой с DSP контролем и USB интерфейсом MCF D-2.8L Zhara</v>
      </c>
      <c r="P10" s="72" t="str">
        <f t="shared" si="1"/>
        <v>Усилитель мощности цифровой с DSP контролем и USB интерфейсом MCF D-2.8L Zhara</v>
      </c>
      <c r="Q10" s="72" t="s">
        <v>1840</v>
      </c>
      <c r="R10" s="15"/>
      <c r="S10" s="72" t="s">
        <v>1837</v>
      </c>
      <c r="T10" s="72" t="s">
        <v>1841</v>
      </c>
      <c r="U10" s="72" t="s">
        <v>1842</v>
      </c>
      <c r="V10" s="72" t="s">
        <v>1843</v>
      </c>
      <c r="W10" s="72" t="s">
        <v>1844</v>
      </c>
      <c r="X10" s="72" t="s">
        <v>1837</v>
      </c>
    </row>
    <row r="11" spans="1:24" ht="195" x14ac:dyDescent="0.25">
      <c r="A11" s="130">
        <v>10</v>
      </c>
      <c r="B11" s="108" t="s">
        <v>1698</v>
      </c>
      <c r="C11" s="108" t="s">
        <v>1699</v>
      </c>
      <c r="D11" s="111" t="s">
        <v>1754</v>
      </c>
      <c r="E11" s="108">
        <v>2</v>
      </c>
      <c r="F11" s="108" t="s">
        <v>1954</v>
      </c>
      <c r="G11" s="108" t="s">
        <v>1688</v>
      </c>
      <c r="H11" s="111" t="s">
        <v>1750</v>
      </c>
      <c r="I11" s="108" t="s">
        <v>1683</v>
      </c>
      <c r="J11" s="108" t="s">
        <v>1700</v>
      </c>
      <c r="K11" s="108" t="s">
        <v>1957</v>
      </c>
      <c r="L11" s="108" t="str">
        <f>CONCATENATE( C1,C11,CHAR(10), D1,D11,CHAR(10), E1,E11,CHAR(10), F1,F11,CHAR(10), G1,G11,CHAR(10), H1,H11,CHAR(10), I1,I11,CHAR(10), J1,J11,CHAR(10), K1,K11,CHAR(10), )</f>
        <v xml:space="preserve">типУсилитель мощности цифровой
Выходная мощность:8Ω STEREO: 2 x 550 Вт4Ω STEREO: 2 x 850 Вт2Ω STEREO: 2 x 1150 Вт8ΩBRIDGE:        1500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Размеры:485х385х45 мм (1U)
Вес:7,6
</v>
      </c>
      <c r="M11" s="131">
        <v>24900</v>
      </c>
      <c r="N11" s="72" t="s">
        <v>1827</v>
      </c>
      <c r="O11" s="72" t="str">
        <f t="shared" si="0"/>
        <v>Усилитель мощности цифровой MCF D-2.5 Zhara</v>
      </c>
      <c r="P11" s="72" t="str">
        <f t="shared" si="1"/>
        <v>Усилитель мощности цифровой MCF D-2.5 Zhara</v>
      </c>
      <c r="Q11" s="72" t="s">
        <v>1840</v>
      </c>
      <c r="R11" s="15"/>
      <c r="S11" s="72" t="s">
        <v>1837</v>
      </c>
      <c r="T11" s="72" t="s">
        <v>1841</v>
      </c>
      <c r="U11" s="72" t="s">
        <v>1842</v>
      </c>
      <c r="V11" s="72" t="s">
        <v>1843</v>
      </c>
      <c r="W11" s="72" t="s">
        <v>1844</v>
      </c>
      <c r="X11" s="72" t="s">
        <v>1837</v>
      </c>
    </row>
    <row r="12" spans="1:24" ht="195" x14ac:dyDescent="0.25">
      <c r="A12" s="130">
        <v>11</v>
      </c>
      <c r="B12" s="108" t="s">
        <v>1701</v>
      </c>
      <c r="C12" s="108" t="s">
        <v>1699</v>
      </c>
      <c r="D12" s="111" t="s">
        <v>1755</v>
      </c>
      <c r="E12" s="108">
        <v>2</v>
      </c>
      <c r="F12" s="108" t="s">
        <v>1954</v>
      </c>
      <c r="G12" s="108" t="s">
        <v>1688</v>
      </c>
      <c r="H12" s="111" t="s">
        <v>1750</v>
      </c>
      <c r="I12" s="108" t="s">
        <v>1683</v>
      </c>
      <c r="J12" s="108" t="s">
        <v>1700</v>
      </c>
      <c r="K12" s="108" t="s">
        <v>1957</v>
      </c>
      <c r="L12" s="108" t="str">
        <f>CONCATENATE( C1,C12,CHAR(10), D1,D12,CHAR(10), E1,E12,CHAR(10), F1,F12,CHAR(10), G1,G12,CHAR(10), H1,H12,CHAR(10), I1,I12,CHAR(10), J1,J12,CHAR(10), K1,K12,CHAR(10), )</f>
        <v xml:space="preserve">типУсилитель мощности цифровой
Выходная мощность:8Ω STEREO: 2 x 600 Вт4Ω STEREO: 2 x 900 Вт2Ω STEREO: 2 x 1200 Вт8ΩBRIDGE:        1800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Размеры:485х385х45 мм (1U)
Вес:7,6
</v>
      </c>
      <c r="M12" s="131">
        <v>27900</v>
      </c>
      <c r="N12" s="72" t="s">
        <v>1827</v>
      </c>
      <c r="O12" s="72" t="str">
        <f t="shared" si="0"/>
        <v>Усилитель мощности цифровой MCF D-2.6 Zhara</v>
      </c>
      <c r="P12" s="72" t="str">
        <f t="shared" si="1"/>
        <v>Усилитель мощности цифровой MCF D-2.6 Zhara</v>
      </c>
      <c r="Q12" s="72" t="s">
        <v>1840</v>
      </c>
      <c r="R12" s="15"/>
      <c r="S12" s="72" t="s">
        <v>1837</v>
      </c>
      <c r="T12" s="72" t="s">
        <v>1841</v>
      </c>
      <c r="U12" s="72" t="s">
        <v>1842</v>
      </c>
      <c r="V12" s="72" t="s">
        <v>1843</v>
      </c>
      <c r="W12" s="72" t="s">
        <v>1844</v>
      </c>
      <c r="X12" s="72" t="s">
        <v>1837</v>
      </c>
    </row>
    <row r="13" spans="1:24" ht="195" x14ac:dyDescent="0.25">
      <c r="A13" s="130">
        <v>12</v>
      </c>
      <c r="B13" s="108" t="s">
        <v>1702</v>
      </c>
      <c r="C13" s="108" t="s">
        <v>1699</v>
      </c>
      <c r="D13" s="111" t="s">
        <v>1756</v>
      </c>
      <c r="E13" s="108">
        <v>2</v>
      </c>
      <c r="F13" s="108" t="s">
        <v>1954</v>
      </c>
      <c r="G13" s="108" t="s">
        <v>1688</v>
      </c>
      <c r="H13" s="111" t="s">
        <v>1750</v>
      </c>
      <c r="I13" s="108" t="s">
        <v>1683</v>
      </c>
      <c r="J13" s="108" t="s">
        <v>1700</v>
      </c>
      <c r="K13" s="108" t="s">
        <v>1957</v>
      </c>
      <c r="L13" s="108" t="str">
        <f>CONCATENATE( C1,C13,CHAR(10), D1,D13,CHAR(10), E1,E13,CHAR(10), F1,F13,CHAR(10), G1,G13,CHAR(10), H1,H13,CHAR(10), I1,I13,CHAR(10), J1,J13,CHAR(10), K1,K13,CHAR(10), )</f>
        <v xml:space="preserve">типУсилитель мощности цифровой
Выходная мощность:8Ω STEREO: 2 x 800 Вт4Ω STEREO: 2 x 1200 Вт2Ω STEREO: 2 x 1600 Вт8ΩBRIDGE:        2400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Размеры:485х385х45 мм (1U)
Вес:7,6
</v>
      </c>
      <c r="M13" s="131">
        <v>29900</v>
      </c>
      <c r="N13" s="72" t="s">
        <v>1827</v>
      </c>
      <c r="O13" s="72" t="str">
        <f t="shared" si="0"/>
        <v>Усилитель мощности цифровой MCF D-2.8 Zhara</v>
      </c>
      <c r="P13" s="72" t="str">
        <f t="shared" si="1"/>
        <v>Усилитель мощности цифровой MCF D-2.8 Zhara</v>
      </c>
      <c r="Q13" s="72" t="s">
        <v>1840</v>
      </c>
      <c r="R13" s="15"/>
      <c r="S13" s="72" t="s">
        <v>1837</v>
      </c>
      <c r="T13" s="72" t="s">
        <v>1841</v>
      </c>
      <c r="U13" s="72" t="s">
        <v>1842</v>
      </c>
      <c r="V13" s="72" t="s">
        <v>1843</v>
      </c>
      <c r="W13" s="72" t="s">
        <v>1844</v>
      </c>
      <c r="X13" s="72" t="s">
        <v>1837</v>
      </c>
    </row>
    <row r="14" spans="1:24" ht="195" x14ac:dyDescent="0.25">
      <c r="A14" s="130">
        <v>13</v>
      </c>
      <c r="B14" s="108" t="s">
        <v>1703</v>
      </c>
      <c r="C14" s="108" t="s">
        <v>1699</v>
      </c>
      <c r="D14" s="111" t="s">
        <v>1757</v>
      </c>
      <c r="E14" s="108">
        <v>2</v>
      </c>
      <c r="F14" s="108" t="s">
        <v>1954</v>
      </c>
      <c r="G14" s="108" t="s">
        <v>1688</v>
      </c>
      <c r="H14" s="111" t="s">
        <v>1750</v>
      </c>
      <c r="I14" s="108" t="s">
        <v>1683</v>
      </c>
      <c r="J14" s="108" t="s">
        <v>1700</v>
      </c>
      <c r="K14" s="108" t="s">
        <v>1957</v>
      </c>
      <c r="L14" s="108" t="str">
        <f>CONCATENATE( C1,C14,CHAR(10), D1,D14,CHAR(10), E1,E14,CHAR(10), F1,F14,CHAR(10), G1,G14,CHAR(10), H1,H14,CHAR(10), I1,I14,CHAR(10), J1,J14,CHAR(10), K1,K14,CHAR(10), )</f>
        <v xml:space="preserve">типУсилитель мощности цифровой
Выходная мощность:8Ω STEREO: 2 x 1000 Вт4Ω STEREO: 2 x 1500 Вт2Ω STEREO: 2 x 2000 Вт8ΩBRIDGE:        3000 Вт
Каналов:2
АЧХ:20 Гц - 20ц (±0,3 дБ)
Отношение сигнал/шум:&gt;95 дБ
Особенности:динамический лимитер, регуляторы громкости, технология класса D, встроенный динамический процессор, защита против перегрева
Питание:210 В – 230 В, 50/60 Гц
Размеры:485х385х45 мм (1U)
Вес:7,6
</v>
      </c>
      <c r="M14" s="111" t="s">
        <v>1793</v>
      </c>
      <c r="N14" s="72" t="s">
        <v>1827</v>
      </c>
      <c r="O14" s="72" t="str">
        <f t="shared" si="0"/>
        <v>Усилитель мощности цифровой MCFD-2.10 Zhara</v>
      </c>
      <c r="P14" s="72" t="str">
        <f t="shared" si="1"/>
        <v>Усилитель мощности цифровой MCFD-2.10 Zhara</v>
      </c>
      <c r="Q14" s="72" t="s">
        <v>1840</v>
      </c>
      <c r="R14" s="15"/>
      <c r="S14" s="72" t="s">
        <v>1837</v>
      </c>
      <c r="T14" s="72" t="s">
        <v>1841</v>
      </c>
      <c r="U14" s="72" t="s">
        <v>1842</v>
      </c>
      <c r="V14" s="72" t="s">
        <v>1843</v>
      </c>
      <c r="W14" s="72" t="s">
        <v>1844</v>
      </c>
      <c r="X14" s="72" t="s">
        <v>1837</v>
      </c>
    </row>
    <row r="15" spans="1:24" ht="195" x14ac:dyDescent="0.25">
      <c r="A15" s="130">
        <v>14</v>
      </c>
      <c r="B15" s="108" t="s">
        <v>1704</v>
      </c>
      <c r="C15" s="108" t="s">
        <v>1699</v>
      </c>
      <c r="D15" s="111" t="s">
        <v>1758</v>
      </c>
      <c r="E15" s="108">
        <v>4</v>
      </c>
      <c r="F15" s="108" t="s">
        <v>1954</v>
      </c>
      <c r="G15" s="108" t="s">
        <v>1688</v>
      </c>
      <c r="H15" s="111" t="s">
        <v>1790</v>
      </c>
      <c r="I15" s="108" t="s">
        <v>1683</v>
      </c>
      <c r="J15" s="108" t="s">
        <v>1705</v>
      </c>
      <c r="K15" s="108">
        <v>8</v>
      </c>
      <c r="L15" s="108" t="str">
        <f>CONCATENATE( C1,C15,CHAR(10), D1,D15,CHAR(10), E1,E15,CHAR(10), F1,F15,CHAR(10), G1,G15,CHAR(10), H1,H15,CHAR(10), I1,I15,CHAR(10), J1,J15,CHAR(10), K1,K15,CHAR(10), )</f>
        <v xml:space="preserve">типУсилитель мощности цифровой
Выходная мощность:8Ω STEREO: 4 x 250 Вт4Ω STEREO: 4 x 400 Вт2Ω STEREO: 4 x 550 Вт8ΩBRIDGE: 2 х 500 Вт4ΩBRIDGE: 2 х 750 Вт
Каналов:4
АЧХ:20 Гц - 20ц (±0,3 дБ)
Отношение сигнал/шум:&gt;95 дБ
Особенности:динамический лимитер, технология класса D, встроенный динамический процессор
Питание:210 В – 230 В, 50/60 Гц
Размеры:482х343х45 мм (1U)
Вес:8
</v>
      </c>
      <c r="M15" s="131">
        <v>39900</v>
      </c>
      <c r="N15" s="72" t="s">
        <v>1827</v>
      </c>
      <c r="O15" s="72" t="str">
        <f t="shared" si="0"/>
        <v>Усилитель мощности цифровой MCFD-4.3 Zhara</v>
      </c>
      <c r="P15" s="72" t="str">
        <f t="shared" si="1"/>
        <v>Усилитель мощности цифровой MCFD-4.3 Zhara</v>
      </c>
      <c r="Q15" s="72" t="s">
        <v>1840</v>
      </c>
      <c r="R15" s="32"/>
      <c r="S15" s="72" t="s">
        <v>1837</v>
      </c>
      <c r="T15" s="72" t="s">
        <v>1841</v>
      </c>
      <c r="U15" s="72" t="s">
        <v>1842</v>
      </c>
      <c r="V15" s="72" t="s">
        <v>1843</v>
      </c>
      <c r="W15" s="72" t="s">
        <v>1844</v>
      </c>
      <c r="X15" s="72" t="s">
        <v>1837</v>
      </c>
    </row>
    <row r="16" spans="1:24" ht="195" x14ac:dyDescent="0.25">
      <c r="A16" s="130">
        <v>15</v>
      </c>
      <c r="B16" s="108" t="s">
        <v>1706</v>
      </c>
      <c r="C16" s="108" t="s">
        <v>1699</v>
      </c>
      <c r="D16" s="111" t="s">
        <v>1759</v>
      </c>
      <c r="E16" s="108">
        <v>4</v>
      </c>
      <c r="F16" s="108" t="s">
        <v>1954</v>
      </c>
      <c r="G16" s="108" t="s">
        <v>1688</v>
      </c>
      <c r="H16" s="111" t="s">
        <v>1790</v>
      </c>
      <c r="I16" s="108" t="s">
        <v>1683</v>
      </c>
      <c r="J16" s="108" t="s">
        <v>1705</v>
      </c>
      <c r="K16" s="108">
        <v>8</v>
      </c>
      <c r="L16" s="108" t="str">
        <f>CONCATENATE( C1,C16,CHAR(10), D1,D16,CHAR(10), E1,E16,CHAR(10), F1,F16,CHAR(10), G1,G16,CHAR(10), H1,H16,CHAR(10), I1,I16,CHAR(10), J1,J16,CHAR(10), K1,K16,CHAR(10), )</f>
        <v xml:space="preserve">типУсилитель мощности цифровой
Выходная мощность:8Ω STEREO: 4 x 350 Вт4Ω STEREO: 4 x 550 Вт2Ω STEREO: 4 x 700 Вт8Ω BRIDGE: 2 х 700 Вт4Ω BRIDGE: 2 х 1050 Вт
Каналов:4
АЧХ:20 Гц - 20ц (±0,3 дБ)
Отношение сигнал/шум:&gt;95 дБ
Особенности:динамический лимитер, технология класса D, встроенный динамический процессор
Питание:210 В – 230 В, 50/60 Гц
Размеры:482х343х45 мм (1U)
Вес:8
</v>
      </c>
      <c r="M16" s="131">
        <v>44900</v>
      </c>
      <c r="N16" s="72" t="s">
        <v>1827</v>
      </c>
      <c r="O16" s="72" t="str">
        <f t="shared" si="0"/>
        <v>Усилитель мощности цифровой MCFD-4.4 Zhara</v>
      </c>
      <c r="P16" s="72" t="str">
        <f t="shared" si="1"/>
        <v>Усилитель мощности цифровой MCFD-4.4 Zhara</v>
      </c>
      <c r="Q16" s="72" t="s">
        <v>1840</v>
      </c>
      <c r="R16" s="15"/>
      <c r="S16" s="72" t="s">
        <v>1837</v>
      </c>
      <c r="T16" s="72" t="s">
        <v>1841</v>
      </c>
      <c r="U16" s="72" t="s">
        <v>1842</v>
      </c>
      <c r="V16" s="72" t="s">
        <v>1843</v>
      </c>
      <c r="W16" s="72" t="s">
        <v>1844</v>
      </c>
      <c r="X16" s="72" t="s">
        <v>1837</v>
      </c>
    </row>
    <row r="17" spans="1:24" ht="180" x14ac:dyDescent="0.25">
      <c r="A17" s="130">
        <v>16</v>
      </c>
      <c r="B17" s="108" t="s">
        <v>1707</v>
      </c>
      <c r="C17" s="108" t="s">
        <v>1678</v>
      </c>
      <c r="D17" s="111" t="s">
        <v>1760</v>
      </c>
      <c r="E17" s="108">
        <v>2</v>
      </c>
      <c r="F17" s="108" t="s">
        <v>1958</v>
      </c>
      <c r="G17" s="108" t="s">
        <v>1708</v>
      </c>
      <c r="H17" s="111" t="s">
        <v>1791</v>
      </c>
      <c r="I17" s="108" t="s">
        <v>1683</v>
      </c>
      <c r="J17" s="108" t="s">
        <v>1709</v>
      </c>
      <c r="K17" s="108" t="s">
        <v>1959</v>
      </c>
      <c r="L17" s="108" t="str">
        <f>CONCATENATE( C1,C17,CHAR(10), D1,D17,CHAR(10), E1,E17,CHAR(10), F1,F17,CHAR(10), G1,G17,CHAR(10), H1,H17,CHAR(10), I1,I17,CHAR(10), J1,J17,CHAR(10), K1,K17,CHAR(10), )</f>
        <v xml:space="preserve">типУсилитель мощности
Выходная мощность:8Ω STEREO: 400 Вт4Ω STEREO: 750 Вт2Ω STEREO: 1100 Вт8ΩBRIDGE: 800 Вт4ΩBRIDGE: 1100 Вт
Каналов:2
АЧХ:20 Гц - 20ц (±1,5 дБ)
Отношение сигнал/шум:&gt;103 дБ
Особенности:динамический лимитер, технология класса ТD, встроенный динамический процессор
Питание:210 В – 230 В, 50/60 Гц
Размеры:484х450х90 мм (2U)
Вес:12,1
</v>
      </c>
      <c r="M17" s="131">
        <v>34900</v>
      </c>
      <c r="N17" s="72" t="s">
        <v>1827</v>
      </c>
      <c r="O17" s="72" t="str">
        <f t="shared" si="0"/>
        <v>Усилитель мощности MCF I-4a Bomba</v>
      </c>
      <c r="P17" s="72" t="str">
        <f t="shared" si="1"/>
        <v>Усилитель мощности MCF I-4a Bomba</v>
      </c>
      <c r="Q17" s="72" t="s">
        <v>1840</v>
      </c>
      <c r="R17" s="15"/>
      <c r="S17" s="72" t="s">
        <v>1837</v>
      </c>
      <c r="T17" s="72" t="s">
        <v>1841</v>
      </c>
      <c r="U17" s="72" t="s">
        <v>1842</v>
      </c>
      <c r="V17" s="72" t="s">
        <v>1843</v>
      </c>
      <c r="W17" s="72" t="s">
        <v>1844</v>
      </c>
      <c r="X17" s="72" t="s">
        <v>1837</v>
      </c>
    </row>
    <row r="18" spans="1:24" ht="180" x14ac:dyDescent="0.25">
      <c r="A18" s="130">
        <v>17</v>
      </c>
      <c r="B18" s="108" t="s">
        <v>1710</v>
      </c>
      <c r="C18" s="108" t="s">
        <v>1678</v>
      </c>
      <c r="D18" s="111" t="s">
        <v>1761</v>
      </c>
      <c r="E18" s="108">
        <v>2</v>
      </c>
      <c r="F18" s="108" t="s">
        <v>1958</v>
      </c>
      <c r="G18" s="108" t="s">
        <v>1708</v>
      </c>
      <c r="H18" s="111" t="s">
        <v>1791</v>
      </c>
      <c r="I18" s="108" t="s">
        <v>1683</v>
      </c>
      <c r="J18" s="108" t="s">
        <v>1709</v>
      </c>
      <c r="K18" s="108" t="s">
        <v>1959</v>
      </c>
      <c r="L18" s="108" t="str">
        <f>CONCATENATE( C1,C18,CHAR(10), D1,D18,CHAR(10), E1,E18,CHAR(10), F1,F18,CHAR(10), G1,G18,CHAR(10), H1,H18,CHAR(10), I1,I18,CHAR(10), J1,J18,CHAR(10), K1,K18,CHAR(10), )</f>
        <v xml:space="preserve">типУсилитель мощности
Выходная мощность:8Ω STEREO: 600 Вт4Ω STEREO: 950 Вт2Ω STEREO: 1400 Вт8ΩBRIDGE: 1200 Вт4ΩBRIDGE: 1500 Вт
Каналов:2
АЧХ:20 Гц - 20ц (±1,5 дБ)
Отношение сигнал/шум:&gt;103 дБ
Особенности:динамический лимитер, технология класса ТD, встроенный динамический процессор
Питание:210 В – 230 В, 50/60 Гц
Размеры:484х450х90 мм (2U)
Вес:12,1
</v>
      </c>
      <c r="M18" s="131">
        <v>39900</v>
      </c>
      <c r="N18" s="72" t="s">
        <v>1827</v>
      </c>
      <c r="O18" s="72" t="str">
        <f t="shared" si="0"/>
        <v>Усилитель мощности MCF I-6a Bomba</v>
      </c>
      <c r="P18" s="72" t="str">
        <f t="shared" si="1"/>
        <v>Усилитель мощности MCF I-6a Bomba</v>
      </c>
      <c r="Q18" s="72" t="s">
        <v>1840</v>
      </c>
      <c r="R18" s="32"/>
      <c r="S18" s="72" t="s">
        <v>1837</v>
      </c>
      <c r="T18" s="72" t="s">
        <v>1841</v>
      </c>
      <c r="U18" s="72" t="s">
        <v>1842</v>
      </c>
      <c r="V18" s="72" t="s">
        <v>1843</v>
      </c>
      <c r="W18" s="72" t="s">
        <v>1844</v>
      </c>
      <c r="X18" s="72" t="s">
        <v>1837</v>
      </c>
    </row>
    <row r="19" spans="1:24" ht="180" x14ac:dyDescent="0.25">
      <c r="A19" s="130">
        <v>18</v>
      </c>
      <c r="B19" s="108" t="s">
        <v>1711</v>
      </c>
      <c r="C19" s="108" t="s">
        <v>1678</v>
      </c>
      <c r="D19" s="111" t="s">
        <v>1762</v>
      </c>
      <c r="E19" s="108">
        <v>2</v>
      </c>
      <c r="F19" s="108" t="s">
        <v>1958</v>
      </c>
      <c r="G19" s="108" t="s">
        <v>1708</v>
      </c>
      <c r="H19" s="111" t="s">
        <v>1791</v>
      </c>
      <c r="I19" s="108" t="s">
        <v>1683</v>
      </c>
      <c r="J19" s="108" t="s">
        <v>1709</v>
      </c>
      <c r="K19" s="108" t="s">
        <v>1959</v>
      </c>
      <c r="L19" s="108" t="str">
        <f>CONCATENATE( C1,C19,CHAR(10), D1,D19,CHAR(10), E1,E19,CHAR(10), F1,F19,CHAR(10), G1,G19,CHAR(10), H1,H19,CHAR(10), I1,I19,CHAR(10), J1,J19,CHAR(10), K1,K19,CHAR(10), )</f>
        <v xml:space="preserve">типУсилитель мощности
Выходная мощность:8Ω STEREO: 800 Вт4Ω STEREO: 1100 Вт2Ω STEREO: 1700 Вт8ΩBRIDGE: 1600 Вт4ΩBRIDGE: 1900 Вт
Каналов:2
АЧХ:20 Гц - 20ц (±1,5 дБ)
Отношение сигнал/шум:&gt;103 дБ
Особенности:динамический лимитер, технология класса ТD, встроенный динамический процессор
Питание:210 В – 230 В, 50/60 Гц
Размеры:484х450х90 мм (2U)
Вес:12,1
</v>
      </c>
      <c r="M19" s="131">
        <v>44900</v>
      </c>
      <c r="N19" s="72" t="s">
        <v>1827</v>
      </c>
      <c r="O19" s="72" t="str">
        <f t="shared" si="0"/>
        <v>Усилитель мощности MCF I-8a Bomba</v>
      </c>
      <c r="P19" s="72" t="str">
        <f t="shared" si="1"/>
        <v>Усилитель мощности MCF I-8a Bomba</v>
      </c>
      <c r="Q19" s="72" t="s">
        <v>1840</v>
      </c>
      <c r="R19" s="15"/>
      <c r="S19" s="72" t="s">
        <v>1837</v>
      </c>
      <c r="T19" s="72" t="s">
        <v>1841</v>
      </c>
      <c r="U19" s="72" t="s">
        <v>1842</v>
      </c>
      <c r="V19" s="72" t="s">
        <v>1843</v>
      </c>
      <c r="W19" s="72" t="s">
        <v>1844</v>
      </c>
      <c r="X19" s="72" t="s">
        <v>1837</v>
      </c>
    </row>
    <row r="20" spans="1:24" ht="195" x14ac:dyDescent="0.25">
      <c r="A20" s="130">
        <v>19</v>
      </c>
      <c r="B20" s="108" t="s">
        <v>1712</v>
      </c>
      <c r="C20" s="108" t="s">
        <v>1678</v>
      </c>
      <c r="D20" s="111" t="s">
        <v>1763</v>
      </c>
      <c r="E20" s="108">
        <v>2</v>
      </c>
      <c r="F20" s="108" t="s">
        <v>1960</v>
      </c>
      <c r="G20" s="108" t="s">
        <v>112</v>
      </c>
      <c r="H20" s="111" t="s">
        <v>1790</v>
      </c>
      <c r="I20" s="108" t="s">
        <v>1683</v>
      </c>
      <c r="J20" s="108" t="s">
        <v>1709</v>
      </c>
      <c r="K20" s="108" t="s">
        <v>1959</v>
      </c>
      <c r="L20" s="108" t="str">
        <f>CONCATENATE( C1,C20,CHAR(10), D1,D20,CHAR(10), E1,E20,CHAR(10), F1,F20,CHAR(10), G1,G20,CHAR(10), H1,H20,CHAR(10), I1,I20,CHAR(10), J1,J20,CHAR(10), K1,K20,CHAR(10), )</f>
        <v xml:space="preserve">типУсилитель мощности
Выходная мощность:8Ω STEREO: 2 x 600 Вт4Ω STEREO: 2 x 1100 Вт2Ω STEREO: 2 x 1350 Вт8Ω BRIDGE: 1200 Вт4Ω BRIDGE: 2200 Вт
Каналов:2
АЧХ:20 Гц - 20ц (±0,2 дБ)
Отношение сигнал/шум:&gt;105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0" s="131">
        <v>44900</v>
      </c>
      <c r="N20" s="72" t="s">
        <v>1827</v>
      </c>
      <c r="O20" s="72" t="str">
        <f t="shared" si="0"/>
        <v>Усилитель мощности MCF LH-600 Bomba</v>
      </c>
      <c r="P20" s="72" t="str">
        <f t="shared" si="1"/>
        <v>Усилитель мощности MCF LH-600 Bomba</v>
      </c>
      <c r="Q20" s="72" t="s">
        <v>1840</v>
      </c>
      <c r="R20" s="15"/>
      <c r="S20" s="72" t="s">
        <v>1837</v>
      </c>
      <c r="T20" s="72" t="s">
        <v>1841</v>
      </c>
      <c r="U20" s="72" t="s">
        <v>1842</v>
      </c>
      <c r="V20" s="72" t="s">
        <v>1843</v>
      </c>
      <c r="W20" s="72" t="s">
        <v>1844</v>
      </c>
      <c r="X20" s="72" t="s">
        <v>1837</v>
      </c>
    </row>
    <row r="21" spans="1:24" ht="195" x14ac:dyDescent="0.25">
      <c r="A21" s="130">
        <v>20</v>
      </c>
      <c r="B21" s="108" t="s">
        <v>1713</v>
      </c>
      <c r="C21" s="108" t="s">
        <v>1678</v>
      </c>
      <c r="D21" s="111" t="s">
        <v>1764</v>
      </c>
      <c r="E21" s="108">
        <v>2</v>
      </c>
      <c r="F21" s="108" t="s">
        <v>1960</v>
      </c>
      <c r="G21" s="108" t="s">
        <v>112</v>
      </c>
      <c r="H21" s="111" t="s">
        <v>1790</v>
      </c>
      <c r="I21" s="108" t="s">
        <v>1683</v>
      </c>
      <c r="J21" s="108" t="s">
        <v>1709</v>
      </c>
      <c r="K21" s="108" t="s">
        <v>1959</v>
      </c>
      <c r="L21" s="108" t="str">
        <f>CONCATENATE( C1,C21,CHAR(10), D1,D21,CHAR(10), E1,E21,CHAR(10), F1,F21,CHAR(10), G1,G21,CHAR(10), H1,H21,CHAR(10), I1,I21,CHAR(10), J1,J21,CHAR(10), K1,K21,CHAR(10), )</f>
        <v xml:space="preserve">типУсилитель мощности
Выходная мощность:8Ω STEREO: 2 x 800 Вт4Ω STEREO: 2 x 1500 Вт2Ω STEREO: 2 x 1750 Вт8Ω BRIDGE: 1600 Вт4Ω BRIDGE: 2600 Вт
Каналов:2
АЧХ:20 Гц - 20ц (±0,2 дБ)
Отношение сигнал/шум:&gt;105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1" s="131">
        <v>49900</v>
      </c>
      <c r="N21" s="72" t="s">
        <v>1827</v>
      </c>
      <c r="O21" s="72" t="str">
        <f t="shared" si="0"/>
        <v>Усилитель мощности MCF LH-800 Bomba</v>
      </c>
      <c r="P21" s="72" t="str">
        <f t="shared" si="1"/>
        <v>Усилитель мощности MCF LH-800 Bomba</v>
      </c>
      <c r="Q21" s="72" t="s">
        <v>1840</v>
      </c>
      <c r="R21" s="32"/>
      <c r="S21" s="72" t="s">
        <v>1837</v>
      </c>
      <c r="T21" s="72" t="s">
        <v>1841</v>
      </c>
      <c r="U21" s="72" t="s">
        <v>1842</v>
      </c>
      <c r="V21" s="72" t="s">
        <v>1843</v>
      </c>
      <c r="W21" s="72" t="s">
        <v>1844</v>
      </c>
      <c r="X21" s="72" t="s">
        <v>1837</v>
      </c>
    </row>
    <row r="22" spans="1:24" ht="195" x14ac:dyDescent="0.25">
      <c r="A22" s="130">
        <v>21</v>
      </c>
      <c r="B22" s="108" t="s">
        <v>1714</v>
      </c>
      <c r="C22" s="108" t="s">
        <v>1678</v>
      </c>
      <c r="D22" s="111" t="s">
        <v>1765</v>
      </c>
      <c r="E22" s="108">
        <v>2</v>
      </c>
      <c r="F22" s="108" t="s">
        <v>1960</v>
      </c>
      <c r="G22" s="108" t="s">
        <v>112</v>
      </c>
      <c r="H22" s="111" t="s">
        <v>1790</v>
      </c>
      <c r="I22" s="108" t="s">
        <v>1715</v>
      </c>
      <c r="J22" s="108" t="s">
        <v>1709</v>
      </c>
      <c r="K22" s="108" t="s">
        <v>1959</v>
      </c>
      <c r="L22" s="108" t="str">
        <f>CONCATENATE( C1,C22,CHAR(10), D1,D22,CHAR(10), E1,E22,CHAR(10), F1,F22,CHAR(10), G1,G22,CHAR(10), H1,H22,CHAR(10), I1,I22,CHAR(10), J1,J22,CHAR(10), K1,K22,CHAR(10), )</f>
        <v xml:space="preserve">типУсилитель мощности
Выходная мощность:8Ω STEREO: 2 x 1000 Вт4Ω STEREO: 2 x 1800 Вт2Ω STEREO: 2 x 2050 Вт8Ω BRIDGE: 2000 Вт4Ω BRIDGE: 3600 Вт
Каналов:2
АЧХ:20 Гц - 20ц (±0,2 дБ)
Отношение сигнал/шум:&gt;105 дБ
Особенности:динамический лимитер, технология класса D, встроенный динамический процессор
Питание:210 Вт – 230 Вт, 50/60 Гц
Размеры:484х450х90 мм (2U)
Вес:12,1
</v>
      </c>
      <c r="M22" s="131">
        <v>52900</v>
      </c>
      <c r="N22" s="72" t="s">
        <v>1827</v>
      </c>
      <c r="O22" s="72" t="str">
        <f t="shared" si="0"/>
        <v>Усилитель мощности MCF LH-1000 Bomba</v>
      </c>
      <c r="P22" s="72" t="str">
        <f t="shared" si="1"/>
        <v>Усилитель мощности MCF LH-1000 Bomba</v>
      </c>
      <c r="Q22" s="72" t="s">
        <v>1840</v>
      </c>
      <c r="R22" s="15"/>
      <c r="S22" s="72" t="s">
        <v>1837</v>
      </c>
      <c r="T22" s="72" t="s">
        <v>1841</v>
      </c>
      <c r="U22" s="72" t="s">
        <v>1842</v>
      </c>
      <c r="V22" s="72" t="s">
        <v>1843</v>
      </c>
      <c r="W22" s="72" t="s">
        <v>1844</v>
      </c>
      <c r="X22" s="72" t="s">
        <v>1837</v>
      </c>
    </row>
    <row r="23" spans="1:24" ht="195" x14ac:dyDescent="0.25">
      <c r="A23" s="130">
        <v>22</v>
      </c>
      <c r="B23" s="108" t="s">
        <v>1716</v>
      </c>
      <c r="C23" s="108" t="s">
        <v>1678</v>
      </c>
      <c r="D23" s="111" t="s">
        <v>1766</v>
      </c>
      <c r="E23" s="108">
        <v>2</v>
      </c>
      <c r="F23" s="108" t="s">
        <v>1960</v>
      </c>
      <c r="G23" s="108" t="s">
        <v>112</v>
      </c>
      <c r="H23" s="111" t="s">
        <v>1790</v>
      </c>
      <c r="I23" s="108" t="s">
        <v>1683</v>
      </c>
      <c r="J23" s="108" t="s">
        <v>1709</v>
      </c>
      <c r="K23" s="108" t="s">
        <v>1959</v>
      </c>
      <c r="L23" s="108" t="str">
        <f>CONCATENATE( C1,C23,CHAR(10), D1,D23,CHAR(10), E1,E23,CHAR(10), F1,F23,CHAR(10), G1,G23,CHAR(10), H1,H23,CHAR(10), I1,I23,CHAR(10), J1,J23,CHAR(10), K1,K23,CHAR(10), )</f>
        <v xml:space="preserve">типУсилитель мощности
Выходная мощность:8Ω STEREO: 2 x 1300 Вт4Ω STEREO: 2 x 2300 Вт2Ω STEREO: 2 x 2450 Вт8Ω BRIDGE: 2600 Вт4Ω BRIDGE: 4600 Вт
Каналов:2
АЧХ:20 Гц - 20ц (±0,2 дБ)
Отношение сигнал/шум:&gt;105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3" s="131">
        <v>54900</v>
      </c>
      <c r="N23" s="72" t="s">
        <v>1827</v>
      </c>
      <c r="O23" s="72" t="str">
        <f t="shared" si="0"/>
        <v>Усилитель мощности MCF LH-1300 Bomba</v>
      </c>
      <c r="P23" s="72" t="str">
        <f t="shared" si="1"/>
        <v>Усилитель мощности MCF LH-1300 Bomba</v>
      </c>
      <c r="Q23" s="72" t="s">
        <v>1840</v>
      </c>
      <c r="R23" s="15"/>
      <c r="S23" s="72" t="s">
        <v>1837</v>
      </c>
      <c r="T23" s="72" t="s">
        <v>1841</v>
      </c>
      <c r="U23" s="72" t="s">
        <v>1842</v>
      </c>
      <c r="V23" s="72" t="s">
        <v>1843</v>
      </c>
      <c r="W23" s="72" t="s">
        <v>1844</v>
      </c>
      <c r="X23" s="72" t="s">
        <v>1837</v>
      </c>
    </row>
    <row r="24" spans="1:24" ht="195" x14ac:dyDescent="0.25">
      <c r="A24" s="130">
        <v>23</v>
      </c>
      <c r="B24" s="108" t="s">
        <v>1717</v>
      </c>
      <c r="C24" s="108" t="s">
        <v>1678</v>
      </c>
      <c r="D24" s="111" t="s">
        <v>1767</v>
      </c>
      <c r="E24" s="108">
        <v>2</v>
      </c>
      <c r="F24" s="108" t="s">
        <v>1960</v>
      </c>
      <c r="G24" s="108" t="s">
        <v>112</v>
      </c>
      <c r="H24" s="111" t="s">
        <v>1792</v>
      </c>
      <c r="I24" s="108" t="s">
        <v>1683</v>
      </c>
      <c r="J24" s="108" t="s">
        <v>1709</v>
      </c>
      <c r="K24" s="108" t="s">
        <v>1959</v>
      </c>
      <c r="L24" s="108" t="str">
        <f>CONCATENATE( C1,C24,CHAR(10), D1,D24,CHAR(10), E1,E24,CHAR(10), F1,F24,CHAR(10), G1,G24,CHAR(10), H1,H24,CHAR(10), I1,I24,CHAR(10), J1,J24,CHAR(10), K1,K24,CHAR(10), )</f>
        <v xml:space="preserve">типУсилитель мощности
Выходная мощность:8Ω STEREO: 2 x 1000 Вт4Ω STEREO: 2 x 1950 Вт8Ω BRIDGE: 2000 Вт4Ω BRIDGE: 2850 Вт
Каналов:2
АЧХ:20 Гц - 20ц (±0,2 дБ)
Отношение сигнал/шум:&gt;105 дБ
Особенности:динамический лимитер, регуляторы громкости, технология класса D, встроенный динамический процессор
Питание:210 В – 230 В, 50/60 Гц
Размеры:484х450х90 мм (2U)
Вес:12,1
</v>
      </c>
      <c r="M24" s="131">
        <v>44900</v>
      </c>
      <c r="N24" s="72" t="s">
        <v>1827</v>
      </c>
      <c r="O24" s="72" t="str">
        <f t="shared" si="0"/>
        <v>Усилитель мощности MCF IH-1000 Bomba</v>
      </c>
      <c r="P24" s="72" t="str">
        <f t="shared" si="1"/>
        <v>Усилитель мощности MCF IH-1000 Bomba</v>
      </c>
      <c r="Q24" s="72" t="s">
        <v>1840</v>
      </c>
      <c r="R24" s="15"/>
      <c r="S24" s="72" t="s">
        <v>1837</v>
      </c>
      <c r="T24" s="72" t="s">
        <v>1841</v>
      </c>
      <c r="U24" s="72" t="s">
        <v>1842</v>
      </c>
      <c r="V24" s="72" t="s">
        <v>1843</v>
      </c>
      <c r="W24" s="72" t="s">
        <v>1844</v>
      </c>
      <c r="X24" s="72" t="s">
        <v>1837</v>
      </c>
    </row>
    <row r="25" spans="1:24" ht="195" x14ac:dyDescent="0.25">
      <c r="A25" s="130">
        <v>24</v>
      </c>
      <c r="B25" s="108" t="s">
        <v>1718</v>
      </c>
      <c r="C25" s="108" t="s">
        <v>1678</v>
      </c>
      <c r="D25" s="111" t="s">
        <v>1768</v>
      </c>
      <c r="E25" s="108">
        <v>2</v>
      </c>
      <c r="F25" s="108" t="s">
        <v>1960</v>
      </c>
      <c r="G25" s="108" t="s">
        <v>112</v>
      </c>
      <c r="H25" s="111" t="s">
        <v>1792</v>
      </c>
      <c r="I25" s="108" t="s">
        <v>1683</v>
      </c>
      <c r="J25" s="108" t="s">
        <v>1709</v>
      </c>
      <c r="K25" s="108" t="s">
        <v>1959</v>
      </c>
      <c r="L25" s="108" t="str">
        <f>CONCATENATE( C1,C25,CHAR(10), D1,D25,CHAR(10), E1,E25,CHAR(10), F1,F25,CHAR(10), G1,G25,CHAR(10), H1,H25,CHAR(10), I1,I25,CHAR(10), J1,J25,CHAR(10), K1,K25,CHAR(10), )</f>
        <v xml:space="preserve">типУсилитель мощности
Выходная мощность:8Ω STEREO: 2 x 1300 Вт4Ω STEREO: 2 x 2450 Вт8Ω BRIDGE: 2600 Вт4Ω BRIDGE: 3350 Вт
Каналов:2
АЧХ:20 Гц - 20ц (±0,2 дБ)
Отношение сигнал/шум:&gt;105 дБ
Особенности:динамический лимитер, регуляторы громкости, технология класса D, встроенный динамический процессор
Питание:210 В – 230 В, 50/60 Гц
Размеры:484х450х90 мм (2U)
Вес:12,1
</v>
      </c>
      <c r="M25" s="131">
        <v>49900</v>
      </c>
      <c r="N25" s="72" t="s">
        <v>1827</v>
      </c>
      <c r="O25" s="72" t="str">
        <f t="shared" si="0"/>
        <v>Усилитель мощности MCF IH-1300 Bomba</v>
      </c>
      <c r="P25" s="72" t="str">
        <f t="shared" si="1"/>
        <v>Усилитель мощности MCF IH-1300 Bomba</v>
      </c>
      <c r="Q25" s="72" t="s">
        <v>1840</v>
      </c>
      <c r="R25" s="15"/>
      <c r="S25" s="72" t="s">
        <v>1837</v>
      </c>
      <c r="T25" s="72" t="s">
        <v>1841</v>
      </c>
      <c r="U25" s="72" t="s">
        <v>1842</v>
      </c>
      <c r="V25" s="72" t="s">
        <v>1843</v>
      </c>
      <c r="W25" s="72" t="s">
        <v>1844</v>
      </c>
      <c r="X25" s="72" t="s">
        <v>1837</v>
      </c>
    </row>
    <row r="26" spans="1:24" ht="195" x14ac:dyDescent="0.25">
      <c r="A26" s="130">
        <v>25</v>
      </c>
      <c r="B26" s="108" t="s">
        <v>1719</v>
      </c>
      <c r="C26" s="108" t="s">
        <v>1678</v>
      </c>
      <c r="D26" s="111" t="s">
        <v>1769</v>
      </c>
      <c r="E26" s="108">
        <v>4</v>
      </c>
      <c r="F26" s="108" t="s">
        <v>1958</v>
      </c>
      <c r="G26" s="108" t="s">
        <v>1708</v>
      </c>
      <c r="H26" s="111" t="s">
        <v>1790</v>
      </c>
      <c r="I26" s="108" t="s">
        <v>1683</v>
      </c>
      <c r="J26" s="108" t="s">
        <v>1709</v>
      </c>
      <c r="K26" s="108" t="s">
        <v>1959</v>
      </c>
      <c r="L26" s="108" t="str">
        <f>CONCATENATE( C1,C26,CHAR(10), D1,D26,CHAR(10), E1,E26,CHAR(10), F1,F26,CHAR(10), G1,G26,CHAR(10), H1,H26,CHAR(10), I1,I26,CHAR(10), J1,J26,CHAR(10), K1,K26,CHAR(10), )</f>
        <v xml:space="preserve">типУсилитель мощности
Выходная мощность:8Ω STEREO: 4 x 600 Вт4Ω STEREO: 4 x 1000 Вт2Ω STEREO: 4 x 1200 Вт8Ω BRIDGE: 2 x 1200 Вт4Ω BRIDGE: 2 x 2000 Вт
Каналов:4
АЧХ:20 Гц - 20ц (±1,5 дБ)
Отношение сигнал/шум:&gt;103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6" s="131">
        <v>59900</v>
      </c>
      <c r="N26" s="72" t="s">
        <v>1827</v>
      </c>
      <c r="O26" s="72" t="str">
        <f t="shared" si="0"/>
        <v>Усилитель мощности MCF B-4.6 Bomba</v>
      </c>
      <c r="P26" s="72" t="str">
        <f t="shared" si="1"/>
        <v>Усилитель мощности MCF B-4.6 Bomba</v>
      </c>
      <c r="Q26" s="72" t="s">
        <v>1840</v>
      </c>
      <c r="R26" s="15"/>
      <c r="S26" s="72" t="s">
        <v>1837</v>
      </c>
      <c r="T26" s="72" t="s">
        <v>1841</v>
      </c>
      <c r="U26" s="72" t="s">
        <v>1842</v>
      </c>
      <c r="V26" s="72" t="s">
        <v>1843</v>
      </c>
      <c r="W26" s="72" t="s">
        <v>1844</v>
      </c>
      <c r="X26" s="72" t="s">
        <v>1837</v>
      </c>
    </row>
    <row r="27" spans="1:24" ht="195" x14ac:dyDescent="0.25">
      <c r="A27" s="130">
        <v>26</v>
      </c>
      <c r="B27" s="108" t="s">
        <v>1720</v>
      </c>
      <c r="C27" s="108" t="s">
        <v>1678</v>
      </c>
      <c r="D27" s="111" t="s">
        <v>1770</v>
      </c>
      <c r="E27" s="108">
        <v>4</v>
      </c>
      <c r="F27" s="108" t="s">
        <v>1958</v>
      </c>
      <c r="G27" s="108" t="s">
        <v>1708</v>
      </c>
      <c r="H27" s="111" t="s">
        <v>1790</v>
      </c>
      <c r="I27" s="108" t="s">
        <v>1683</v>
      </c>
      <c r="J27" s="108" t="s">
        <v>1709</v>
      </c>
      <c r="K27" s="108" t="s">
        <v>1959</v>
      </c>
      <c r="L27" s="108" t="str">
        <f>CONCATENATE( C1,C27,CHAR(10), D1,D27,CHAR(10), E1,E27,CHAR(10), F1,F27,CHAR(10), G1,G27,CHAR(10), H1,H27,CHAR(10), I1,I27,CHAR(10), J1,J27,CHAR(10), K1,K27,CHAR(10), )</f>
        <v xml:space="preserve">типУсилитель мощности
Выходная мощность:8Ω STEREO: 4 x 800 Вт4Ω STEREO: 4 x 1500 Вт2Ω STEREO: 4 x 1700 Вт8Ω BRIDGE: 2 x 1600 Вт4Ω BRIDGE: 2 x 2900 Вт
Каналов:4
АЧХ:20 Гц - 20ц (±1,5 дБ)
Отношение сигнал/шум:&gt;103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7" s="131">
        <v>64900</v>
      </c>
      <c r="N27" s="72" t="s">
        <v>1827</v>
      </c>
      <c r="O27" s="72" t="str">
        <f t="shared" si="0"/>
        <v>Усилитель мощности MCF B-4.8 Bomba</v>
      </c>
      <c r="P27" s="72" t="str">
        <f t="shared" si="1"/>
        <v>Усилитель мощности MCF B-4.8 Bomba</v>
      </c>
      <c r="Q27" s="72" t="s">
        <v>1840</v>
      </c>
      <c r="R27" s="15"/>
      <c r="S27" s="72" t="s">
        <v>1837</v>
      </c>
      <c r="T27" s="72" t="s">
        <v>1841</v>
      </c>
      <c r="U27" s="72" t="s">
        <v>1842</v>
      </c>
      <c r="V27" s="72" t="s">
        <v>1843</v>
      </c>
      <c r="W27" s="72" t="s">
        <v>1844</v>
      </c>
      <c r="X27" s="72" t="s">
        <v>1837</v>
      </c>
    </row>
    <row r="28" spans="1:24" ht="195" x14ac:dyDescent="0.25">
      <c r="A28" s="130">
        <v>27</v>
      </c>
      <c r="B28" s="108" t="s">
        <v>1721</v>
      </c>
      <c r="C28" s="108" t="s">
        <v>1678</v>
      </c>
      <c r="D28" s="111" t="s">
        <v>1771</v>
      </c>
      <c r="E28" s="108">
        <v>4</v>
      </c>
      <c r="F28" s="108" t="s">
        <v>1958</v>
      </c>
      <c r="G28" s="108" t="s">
        <v>1708</v>
      </c>
      <c r="H28" s="111" t="s">
        <v>1790</v>
      </c>
      <c r="I28" s="108" t="s">
        <v>1683</v>
      </c>
      <c r="J28" s="108" t="s">
        <v>1709</v>
      </c>
      <c r="K28" s="108" t="s">
        <v>1959</v>
      </c>
      <c r="L28" s="108" t="str">
        <f>CONCATENATE( C1,C28,CHAR(10), D1,D28,CHAR(10), E1,E28,CHAR(10), F1,F28,CHAR(10), G1,G28,CHAR(10), H1,H28,CHAR(10), I1,I28,CHAR(10), J1,J28,CHAR(10), K1,K28,CHAR(10), )</f>
        <v xml:space="preserve">типУсилитель мощности
Выходная мощность:8Ω STEREO: 4 x 1000 Вт4Ω STEREO: 4 x 1900 Вт2Ω STEREO: 4 x 2100 Вт8Ω BRIDGE: 2 x 2000 Вт4Ω BRIDGE: 2 x 3600 Вт
Каналов:4
АЧХ:20 Гц - 20ц (±1,5 дБ)
Отношение сигнал/шум:&gt;103 дБ
Особенности:динамический лимитер, технология класса D, встроенный динамический процессор
Питание:210 В – 230 В, 50/60 Гц
Размеры:484х450х90 мм (2U)
Вес:12,1
</v>
      </c>
      <c r="M28" s="111" t="s">
        <v>1794</v>
      </c>
      <c r="N28" s="72" t="s">
        <v>1827</v>
      </c>
      <c r="O28" s="72" t="str">
        <f t="shared" si="0"/>
        <v>Усилитель мощности MCF B-4.10 Bomba</v>
      </c>
      <c r="P28" s="72" t="str">
        <f t="shared" si="1"/>
        <v>Усилитель мощности MCF B-4.10 Bomba</v>
      </c>
      <c r="Q28" s="72" t="s">
        <v>1840</v>
      </c>
      <c r="R28" s="15"/>
      <c r="S28" s="72" t="s">
        <v>1837</v>
      </c>
      <c r="T28" s="72" t="s">
        <v>1841</v>
      </c>
      <c r="U28" s="72" t="s">
        <v>1842</v>
      </c>
      <c r="V28" s="72" t="s">
        <v>1843</v>
      </c>
      <c r="W28" s="72" t="s">
        <v>1844</v>
      </c>
      <c r="X28" s="72" t="s">
        <v>1837</v>
      </c>
    </row>
    <row r="29" spans="1:24" ht="195" x14ac:dyDescent="0.25">
      <c r="A29" s="130">
        <v>28</v>
      </c>
      <c r="B29" s="111" t="s">
        <v>1722</v>
      </c>
      <c r="C29" s="108" t="s">
        <v>1678</v>
      </c>
      <c r="D29" s="111" t="s">
        <v>1772</v>
      </c>
      <c r="E29" s="108">
        <v>2</v>
      </c>
      <c r="F29" s="108" t="s">
        <v>1954</v>
      </c>
      <c r="G29" s="108" t="s">
        <v>1723</v>
      </c>
      <c r="H29" s="111" t="s">
        <v>1790</v>
      </c>
      <c r="I29" s="108" t="s">
        <v>1683</v>
      </c>
      <c r="J29" s="108" t="s">
        <v>1724</v>
      </c>
      <c r="K29" s="108">
        <v>11</v>
      </c>
      <c r="L29" s="108" t="str">
        <f>CONCATENATE( C1,C29,CHAR(10), D1,D29,CHAR(10), E1,E29,CHAR(10), F1,F29,CHAR(10), G1,G29,CHAR(10), H1,H29,CHAR(10), I1,I29,CHAR(10), J1,J29,CHAR(10), K1,K29,CHAR(10), )</f>
        <v xml:space="preserve">типУсилитель мощности
Выходная мощность:8Ω STEREO: 2 x 500 Вт4Ω STEREO: 2 x 800 Вт2Ω STEREO: 2 x 1600 Вт8Ω BRIDGE: 1500 Вт4Ω BRIDGE: 3000 Вт
Каналов:2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Вес:11
</v>
      </c>
      <c r="M29" s="131">
        <v>59900</v>
      </c>
      <c r="N29" s="72" t="s">
        <v>1827</v>
      </c>
      <c r="O29" s="72" t="str">
        <f t="shared" si="0"/>
        <v xml:space="preserve">Усилитель мощности MCF FP+3000 Katyusha   </v>
      </c>
      <c r="P29" s="72" t="str">
        <f t="shared" si="1"/>
        <v xml:space="preserve">Усилитель мощности MCF FP+3000 Katyusha   </v>
      </c>
      <c r="Q29" s="72" t="s">
        <v>1840</v>
      </c>
      <c r="R29" s="15"/>
      <c r="S29" s="72" t="s">
        <v>1837</v>
      </c>
      <c r="T29" s="72" t="s">
        <v>1841</v>
      </c>
      <c r="U29" s="72" t="s">
        <v>1842</v>
      </c>
      <c r="V29" s="72" t="s">
        <v>1843</v>
      </c>
      <c r="W29" s="72" t="s">
        <v>1844</v>
      </c>
      <c r="X29" s="72" t="s">
        <v>1837</v>
      </c>
    </row>
    <row r="30" spans="1:24" ht="195" x14ac:dyDescent="0.25">
      <c r="A30" s="130">
        <v>29</v>
      </c>
      <c r="B30" s="111" t="s">
        <v>1725</v>
      </c>
      <c r="C30" s="108" t="s">
        <v>1678</v>
      </c>
      <c r="D30" s="111" t="s">
        <v>1773</v>
      </c>
      <c r="E30" s="108">
        <v>2</v>
      </c>
      <c r="F30" s="108" t="s">
        <v>1954</v>
      </c>
      <c r="G30" s="108" t="s">
        <v>1723</v>
      </c>
      <c r="H30" s="111" t="s">
        <v>1790</v>
      </c>
      <c r="I30" s="108" t="s">
        <v>1683</v>
      </c>
      <c r="J30" s="108" t="s">
        <v>1724</v>
      </c>
      <c r="K30" s="108" t="s">
        <v>1961</v>
      </c>
      <c r="L30" s="108" t="str">
        <f>CONCATENATE( C1,C30,CHAR(10), D1,D30,CHAR(10), E1,E30,CHAR(10), F1,F30,CHAR(10), G1,G30,CHAR(10), H1,H30,CHAR(10), I1,I30,CHAR(10), J1,J30,CHAR(10), K1,K30,CHAR(10), )</f>
        <v xml:space="preserve">типУсилитель мощности
Выходная мощность:8Ω STEREO: 2 x 800 Вт4Ω STEREO: 2 x 1500 Вт2Ω STEREO: 2 x 3000 Вт8Ω BRIDGE: 2400 Вт4Ω BRIDGE: 4000 Вт
Каналов:2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Вес:11,1
</v>
      </c>
      <c r="M30" s="131">
        <v>64900</v>
      </c>
      <c r="N30" s="72" t="s">
        <v>1827</v>
      </c>
      <c r="O30" s="72" t="str">
        <f t="shared" si="0"/>
        <v xml:space="preserve">Усилитель мощности MCF FP+4000 Katyusha   </v>
      </c>
      <c r="P30" s="72" t="str">
        <f t="shared" si="1"/>
        <v xml:space="preserve">Усилитель мощности MCF FP+4000 Katyusha   </v>
      </c>
      <c r="Q30" s="72" t="s">
        <v>1840</v>
      </c>
      <c r="R30" s="15"/>
      <c r="S30" s="72" t="s">
        <v>1837</v>
      </c>
      <c r="T30" s="72" t="s">
        <v>1841</v>
      </c>
      <c r="U30" s="72" t="s">
        <v>1842</v>
      </c>
      <c r="V30" s="72" t="s">
        <v>1843</v>
      </c>
      <c r="W30" s="72" t="s">
        <v>1844</v>
      </c>
      <c r="X30" s="72" t="s">
        <v>1837</v>
      </c>
    </row>
    <row r="31" spans="1:24" ht="195" x14ac:dyDescent="0.25">
      <c r="A31" s="130">
        <v>30</v>
      </c>
      <c r="B31" s="111" t="s">
        <v>1726</v>
      </c>
      <c r="C31" s="108" t="s">
        <v>1678</v>
      </c>
      <c r="D31" s="111" t="s">
        <v>1774</v>
      </c>
      <c r="E31" s="108">
        <v>2</v>
      </c>
      <c r="F31" s="108" t="s">
        <v>1954</v>
      </c>
      <c r="G31" s="108" t="s">
        <v>1723</v>
      </c>
      <c r="H31" s="111" t="s">
        <v>1790</v>
      </c>
      <c r="I31" s="108" t="s">
        <v>1683</v>
      </c>
      <c r="J31" s="108" t="s">
        <v>1724</v>
      </c>
      <c r="K31" s="108" t="s">
        <v>1962</v>
      </c>
      <c r="L31" s="108" t="str">
        <f>CONCATENATE( C1,C31,CHAR(10), D1,D31,CHAR(10), E1,E31,CHAR(10), F1,F31,CHAR(10), G1,G31,CHAR(10), H1,H31,CHAR(10), I1,I31,CHAR(10), J1,J31,CHAR(10), K1,K31,CHAR(10), )</f>
        <v xml:space="preserve">типУсилитель мощности
Выходная мощность:8Ω STEREO: 2 x 1100 Вт4Ω STEREO: 2 x 2000 Вт2Ω STEREO: 2 x 4000 Вт8Ω BRIDGE: 3300 Вт4Ω BRIDGE: 7000 Вт
Каналов:2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Вес:11,4
</v>
      </c>
      <c r="M31" s="131">
        <v>69900</v>
      </c>
      <c r="N31" s="72" t="s">
        <v>1827</v>
      </c>
      <c r="O31" s="72" t="str">
        <f t="shared" si="0"/>
        <v xml:space="preserve">Усилитель мощности MCF FP+7000 Katyusha   </v>
      </c>
      <c r="P31" s="72" t="str">
        <f t="shared" si="1"/>
        <v xml:space="preserve">Усилитель мощности MCF FP+7000 Katyusha   </v>
      </c>
      <c r="Q31" s="72" t="s">
        <v>1840</v>
      </c>
      <c r="R31" s="15"/>
      <c r="S31" s="72" t="s">
        <v>1837</v>
      </c>
      <c r="T31" s="72" t="s">
        <v>1841</v>
      </c>
      <c r="U31" s="72" t="s">
        <v>1842</v>
      </c>
      <c r="V31" s="72" t="s">
        <v>1843</v>
      </c>
      <c r="W31" s="72" t="s">
        <v>1844</v>
      </c>
      <c r="X31" s="72" t="s">
        <v>1837</v>
      </c>
    </row>
    <row r="32" spans="1:24" ht="195" x14ac:dyDescent="0.25">
      <c r="A32" s="130">
        <v>31</v>
      </c>
      <c r="B32" s="111" t="s">
        <v>1727</v>
      </c>
      <c r="C32" s="108" t="s">
        <v>1678</v>
      </c>
      <c r="D32" s="111" t="s">
        <v>1775</v>
      </c>
      <c r="E32" s="108">
        <v>2</v>
      </c>
      <c r="F32" s="108" t="s">
        <v>1954</v>
      </c>
      <c r="G32" s="108" t="s">
        <v>1723</v>
      </c>
      <c r="H32" s="111" t="s">
        <v>1790</v>
      </c>
      <c r="I32" s="108" t="s">
        <v>1683</v>
      </c>
      <c r="J32" s="108" t="s">
        <v>1724</v>
      </c>
      <c r="K32" s="108">
        <v>12</v>
      </c>
      <c r="L32" s="108" t="str">
        <f>CONCATENATE( C1,C32,CHAR(10), D1,D32,CHAR(10), E1,E32,CHAR(10), F1,F32,CHAR(10), G1,G32,CHAR(10), H1,H32,CHAR(10), I1,I32,CHAR(10), J1,J32,CHAR(10), K1,K32,CHAR(10), )</f>
        <v xml:space="preserve">типУсилитель мощности
Выходная мощность:8Ω STEREO: 2 x 1500 Вт4Ω STEREO: 2 x 2800 Вт2Ω STEREO: 2 x 3600 Вт8Ω BRIDGE: 4500 Вт4Ω BRIDGE: 9000 Вт
Каналов:2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Вес:12
</v>
      </c>
      <c r="M32" s="131">
        <v>74900</v>
      </c>
      <c r="N32" s="72" t="s">
        <v>1827</v>
      </c>
      <c r="O32" s="72" t="str">
        <f t="shared" si="0"/>
        <v xml:space="preserve">Усилитель мощности MCF FP+9000 Katyusha   </v>
      </c>
      <c r="P32" s="72" t="str">
        <f t="shared" si="1"/>
        <v xml:space="preserve">Усилитель мощности MCF FP+9000 Katyusha   </v>
      </c>
      <c r="Q32" s="72" t="s">
        <v>1840</v>
      </c>
      <c r="R32" s="15"/>
      <c r="S32" s="72" t="s">
        <v>1837</v>
      </c>
      <c r="T32" s="72" t="s">
        <v>1841</v>
      </c>
      <c r="U32" s="72" t="s">
        <v>1842</v>
      </c>
      <c r="V32" s="72" t="s">
        <v>1843</v>
      </c>
      <c r="W32" s="72" t="s">
        <v>1844</v>
      </c>
      <c r="X32" s="72" t="s">
        <v>1837</v>
      </c>
    </row>
    <row r="33" spans="1:24" ht="195" x14ac:dyDescent="0.25">
      <c r="A33" s="130">
        <v>32</v>
      </c>
      <c r="B33" s="111" t="s">
        <v>1728</v>
      </c>
      <c r="C33" s="108" t="s">
        <v>1678</v>
      </c>
      <c r="D33" s="111" t="s">
        <v>1776</v>
      </c>
      <c r="E33" s="108">
        <v>2</v>
      </c>
      <c r="F33" s="108" t="s">
        <v>1954</v>
      </c>
      <c r="G33" s="108" t="s">
        <v>1723</v>
      </c>
      <c r="H33" s="111" t="s">
        <v>1790</v>
      </c>
      <c r="I33" s="108" t="s">
        <v>1683</v>
      </c>
      <c r="J33" s="108" t="s">
        <v>1724</v>
      </c>
      <c r="K33" s="108" t="s">
        <v>1963</v>
      </c>
      <c r="L33" s="108" t="str">
        <f>CONCATENATE( C1,C33,CHAR(10), D1,D33,CHAR(10), E1,E33,CHAR(10), F1,F33,CHAR(10), G1,G33,CHAR(10), H1,H33,CHAR(10), I1,I33,CHAR(10), J1,J33,CHAR(10), K1,K33,CHAR(10), )</f>
        <v xml:space="preserve">типУсилитель мощности
Выходная мощность:8Ω STEREO: 2 x 2000 Вт4Ω STEREO: 2 x 3850 Вт2Ω STEREO: 2 x 7600 Вт8Ω BRIDGE: 6000 Вт4Ω BRIDGE: 13000 Вт
Каналов:2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Вес:12,4
</v>
      </c>
      <c r="M33" s="131">
        <v>84900</v>
      </c>
      <c r="N33" s="72" t="s">
        <v>1827</v>
      </c>
      <c r="O33" s="72" t="str">
        <f t="shared" si="0"/>
        <v xml:space="preserve">Усилитель мощности MCF FP+13000 Katyusha   </v>
      </c>
      <c r="P33" s="72" t="str">
        <f t="shared" si="1"/>
        <v xml:space="preserve">Усилитель мощности MCF FP+13000 Katyusha   </v>
      </c>
      <c r="Q33" s="72" t="s">
        <v>1840</v>
      </c>
      <c r="R33" s="15"/>
      <c r="S33" s="72" t="s">
        <v>1837</v>
      </c>
      <c r="T33" s="72" t="s">
        <v>1841</v>
      </c>
      <c r="U33" s="72" t="s">
        <v>1842</v>
      </c>
      <c r="V33" s="72" t="s">
        <v>1843</v>
      </c>
      <c r="W33" s="72" t="s">
        <v>1844</v>
      </c>
      <c r="X33" s="72" t="s">
        <v>1837</v>
      </c>
    </row>
    <row r="34" spans="1:24" ht="195" x14ac:dyDescent="0.25">
      <c r="A34" s="130">
        <v>33</v>
      </c>
      <c r="B34" s="111" t="s">
        <v>1729</v>
      </c>
      <c r="C34" s="108" t="s">
        <v>1678</v>
      </c>
      <c r="D34" s="111" t="s">
        <v>1777</v>
      </c>
      <c r="E34" s="108">
        <v>4</v>
      </c>
      <c r="F34" s="108" t="s">
        <v>1954</v>
      </c>
      <c r="G34" s="108" t="s">
        <v>1723</v>
      </c>
      <c r="H34" s="111" t="s">
        <v>1790</v>
      </c>
      <c r="I34" s="108" t="s">
        <v>1683</v>
      </c>
      <c r="J34" s="108" t="s">
        <v>1724</v>
      </c>
      <c r="K34" s="108" t="s">
        <v>1964</v>
      </c>
      <c r="L34" s="108" t="str">
        <f>CONCATENATE( C1,C34,CHAR(10), D1,D34,CHAR(10), E1,E34,CHAR(10), F1,F34,CHAR(10), G1,G34,CHAR(10), H1,H34,CHAR(10), I1,I34,CHAR(10), J1,J34,CHAR(10), K1,K34,CHAR(10), )</f>
        <v xml:space="preserve">типУсилитель мощности
Выходная мощность:8Ω STEREO: 4 x 500 Вт4Ω STEREO: 4 x 800 Вт2Ω STEREO: 4 x 1600 Вт8Ω BRIDGE: 2 x 1500 Вт4Ω BRIDGE: 2 x 3000 Вт
Каналов:4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Вес:12,2
</v>
      </c>
      <c r="M34" s="131">
        <v>89900</v>
      </c>
      <c r="N34" s="72" t="s">
        <v>1827</v>
      </c>
      <c r="O34" s="72" t="str">
        <f t="shared" si="0"/>
        <v xml:space="preserve">Усилитель мощности MCF FP+3000QKatyusha   </v>
      </c>
      <c r="P34" s="72" t="str">
        <f t="shared" si="1"/>
        <v xml:space="preserve">Усилитель мощности MCF FP+3000QKatyusha   </v>
      </c>
      <c r="Q34" s="72" t="s">
        <v>1840</v>
      </c>
      <c r="R34" s="15"/>
      <c r="S34" s="72" t="s">
        <v>1837</v>
      </c>
      <c r="T34" s="72" t="s">
        <v>1841</v>
      </c>
      <c r="U34" s="72" t="s">
        <v>1842</v>
      </c>
      <c r="V34" s="72" t="s">
        <v>1843</v>
      </c>
      <c r="W34" s="72" t="s">
        <v>1844</v>
      </c>
      <c r="X34" s="72" t="s">
        <v>1837</v>
      </c>
    </row>
    <row r="35" spans="1:24" ht="195" x14ac:dyDescent="0.25">
      <c r="A35" s="130">
        <v>34</v>
      </c>
      <c r="B35" s="111" t="s">
        <v>1730</v>
      </c>
      <c r="C35" s="108" t="s">
        <v>1678</v>
      </c>
      <c r="D35" s="111" t="s">
        <v>1778</v>
      </c>
      <c r="E35" s="108">
        <v>4</v>
      </c>
      <c r="F35" s="108" t="s">
        <v>1954</v>
      </c>
      <c r="G35" s="108" t="s">
        <v>1723</v>
      </c>
      <c r="H35" s="111" t="s">
        <v>1790</v>
      </c>
      <c r="I35" s="108" t="s">
        <v>1683</v>
      </c>
      <c r="J35" s="108" t="s">
        <v>1724</v>
      </c>
      <c r="K35" s="108" t="s">
        <v>1872</v>
      </c>
      <c r="L35" s="108" t="str">
        <f>CONCATENATE( C1,C35,CHAR(10), D1,D35,CHAR(10), E1,E35,CHAR(10), F1,F35,CHAR(10), G1,G35,CHAR(10), H1,H35,CHAR(10), I1,I35,CHAR(10), J1,J35,CHAR(10), K1,K35,CHAR(10), )</f>
        <v xml:space="preserve">типУсилитель мощности
Выходная мощность:8Ω STEREO: 4 x 625 Вт4Ω STEREO: 4 x 1250 Вт2Ω STEREO: 4 x 1500 Вт8Ω BRIDGE: 2 x 2500 Вт4Ω BRIDGE: 2 x 3000 Вт
Каналов:4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Вес:12,5
</v>
      </c>
      <c r="M35" s="131">
        <v>94900</v>
      </c>
      <c r="N35" s="72" t="s">
        <v>1827</v>
      </c>
      <c r="O35" s="72" t="str">
        <f t="shared" si="0"/>
        <v xml:space="preserve">Усилитель мощности MCF FP+6000Q Katyusha   </v>
      </c>
      <c r="P35" s="72" t="str">
        <f t="shared" si="1"/>
        <v xml:space="preserve">Усилитель мощности MCF FP+6000Q Katyusha   </v>
      </c>
      <c r="Q35" s="72" t="s">
        <v>1840</v>
      </c>
      <c r="R35" s="15"/>
      <c r="S35" s="72" t="s">
        <v>1837</v>
      </c>
      <c r="T35" s="72" t="s">
        <v>1841</v>
      </c>
      <c r="U35" s="72" t="s">
        <v>1842</v>
      </c>
      <c r="V35" s="72" t="s">
        <v>1843</v>
      </c>
      <c r="W35" s="72" t="s">
        <v>1844</v>
      </c>
      <c r="X35" s="72" t="s">
        <v>1837</v>
      </c>
    </row>
    <row r="36" spans="1:24" ht="195" x14ac:dyDescent="0.25">
      <c r="A36" s="130">
        <v>35</v>
      </c>
      <c r="B36" s="111" t="s">
        <v>1731</v>
      </c>
      <c r="C36" s="108" t="s">
        <v>1678</v>
      </c>
      <c r="D36" s="111" t="s">
        <v>1779</v>
      </c>
      <c r="E36" s="108">
        <v>4</v>
      </c>
      <c r="F36" s="108" t="s">
        <v>1954</v>
      </c>
      <c r="G36" s="108" t="s">
        <v>1723</v>
      </c>
      <c r="H36" s="111" t="s">
        <v>1790</v>
      </c>
      <c r="I36" s="108" t="s">
        <v>1683</v>
      </c>
      <c r="J36" s="108" t="s">
        <v>1724</v>
      </c>
      <c r="K36" s="108" t="s">
        <v>1965</v>
      </c>
      <c r="L36" s="108" t="str">
        <f>CONCATENATE( C1,C36,CHAR(10), D1,D36,CHAR(10), E1,E36,CHAR(10), F1,F36,CHAR(10), G1,G36,CHAR(10), H1,H36,CHAR(10), I1,I36,CHAR(10), J1,J36,CHAR(10), K1,K36,CHAR(10), )</f>
        <v xml:space="preserve">типУсилитель мощности
Выходная мощность:8Ω STEREO: 4 x 1300 Вт4Ω STEREO: 4 x 2100 Вт2Ω STEREO: 4 x 2500 Вт8Ω BRIDGE: 2 x 4200 Вт4Ω BRIDGE: 2 x 5000 Вт
Каналов:4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Вес:12,8
</v>
      </c>
      <c r="M36" s="131">
        <v>109900</v>
      </c>
      <c r="N36" s="72" t="s">
        <v>1827</v>
      </c>
      <c r="O36" s="72" t="str">
        <f t="shared" si="0"/>
        <v xml:space="preserve">Усилитель мощности MCF FP+10000Q Katyusha   </v>
      </c>
      <c r="P36" s="72" t="str">
        <f t="shared" si="1"/>
        <v xml:space="preserve">Усилитель мощности MCF FP+10000Q Katyusha   </v>
      </c>
      <c r="Q36" s="72" t="s">
        <v>1840</v>
      </c>
      <c r="R36" s="15"/>
      <c r="S36" s="72" t="s">
        <v>1837</v>
      </c>
      <c r="T36" s="72" t="s">
        <v>1841</v>
      </c>
      <c r="U36" s="72" t="s">
        <v>1842</v>
      </c>
      <c r="V36" s="72" t="s">
        <v>1843</v>
      </c>
      <c r="W36" s="72" t="s">
        <v>1844</v>
      </c>
      <c r="X36" s="72" t="s">
        <v>1837</v>
      </c>
    </row>
    <row r="37" spans="1:24" ht="195" x14ac:dyDescent="0.25">
      <c r="A37" s="130">
        <v>36</v>
      </c>
      <c r="B37" s="111" t="s">
        <v>1732</v>
      </c>
      <c r="C37" s="108" t="s">
        <v>1678</v>
      </c>
      <c r="D37" s="111" t="s">
        <v>1780</v>
      </c>
      <c r="E37" s="108">
        <v>4</v>
      </c>
      <c r="F37" s="108" t="s">
        <v>1954</v>
      </c>
      <c r="G37" s="108" t="s">
        <v>1723</v>
      </c>
      <c r="H37" s="111" t="s">
        <v>1790</v>
      </c>
      <c r="I37" s="108" t="s">
        <v>1683</v>
      </c>
      <c r="J37" s="108" t="s">
        <v>1724</v>
      </c>
      <c r="K37" s="108" t="s">
        <v>1900</v>
      </c>
      <c r="L37" s="108" t="str">
        <f>CONCATENATE( C1,C37,CHAR(10), D1,D37,CHAR(10), E1,E37,CHAR(10), F1,F37,CHAR(10), G1,G37,CHAR(10), H1,H37,CHAR(10), I1,I37,CHAR(10), J1,J37,CHAR(10), K1,K37,CHAR(10), )</f>
        <v xml:space="preserve">типУсилитель мощности
Выходная мощность:8Ω STEREO: 4 x 2000 Вт4Ω STEREO: 4 x 3850 Вт2Ω STEREO: 4 x 7600 Вт8Ω BRIDGE: 2 x 6000 Вт4Ω BRIDGE: 2 x 13000 Вт
Каналов:4
АЧХ:20 Гц - 20ц (±0,3 дБ)
Отношение сигнал/шум:&gt;112 дБ
Особенности:динамический лимитер, технология класса D, встроенный динамический процессор
Питание:210 В – 230 В, 50/60 Гц
Размеры:485х410х90 мм (2U)
Вес:13,1
</v>
      </c>
      <c r="M37" s="131">
        <v>119900</v>
      </c>
      <c r="N37" s="72" t="s">
        <v>1827</v>
      </c>
      <c r="O37" s="72" t="str">
        <f t="shared" si="0"/>
        <v xml:space="preserve">Усилитель мощности MCF FP+13000Q Katyusha   </v>
      </c>
      <c r="P37" s="72" t="str">
        <f t="shared" si="1"/>
        <v xml:space="preserve">Усилитель мощности MCF FP+13000Q Katyusha   </v>
      </c>
      <c r="Q37" s="72" t="s">
        <v>1840</v>
      </c>
      <c r="R37" s="15"/>
      <c r="S37" s="72" t="s">
        <v>1837</v>
      </c>
      <c r="T37" s="72" t="s">
        <v>1841</v>
      </c>
      <c r="U37" s="72" t="s">
        <v>1842</v>
      </c>
      <c r="V37" s="72" t="s">
        <v>1843</v>
      </c>
      <c r="W37" s="72" t="s">
        <v>1844</v>
      </c>
      <c r="X37" s="72" t="s">
        <v>1837</v>
      </c>
    </row>
    <row r="38" spans="1:24" ht="165" x14ac:dyDescent="0.25">
      <c r="A38" s="130">
        <v>37</v>
      </c>
      <c r="B38" s="108" t="s">
        <v>1733</v>
      </c>
      <c r="C38" s="108" t="s">
        <v>1678</v>
      </c>
      <c r="D38" s="111" t="s">
        <v>1781</v>
      </c>
      <c r="E38" s="108">
        <v>2</v>
      </c>
      <c r="F38" s="108" t="s">
        <v>1966</v>
      </c>
      <c r="G38" s="108" t="s">
        <v>1734</v>
      </c>
      <c r="H38" s="108" t="s">
        <v>1789</v>
      </c>
      <c r="I38" s="108" t="s">
        <v>1735</v>
      </c>
      <c r="J38" s="108" t="s">
        <v>1736</v>
      </c>
      <c r="K38" s="108" t="s">
        <v>1967</v>
      </c>
      <c r="L38" s="108" t="str">
        <f>CONCATENATE( C1,C38,CHAR(10), D1,D38,CHAR(10), E1,E38,CHAR(10), F1,F38,CHAR(10), G1,G38,CHAR(10), H1,H38,CHAR(10), I1,I38,CHAR(10), J1,J38,CHAR(10), K1,K38,CHAR(10), )</f>
        <v xml:space="preserve">типУсилитель мощности
Выходная мощность:8Ω STEREO: 2 x 350 Вт4Ω STEREO: 2 x 500 Вт2Ω STEREO: 2 x 600 Вт8Ω BRIDGE: 700 Вт4Ω BRIDGE: 1400 Вт
Каналов:2
АЧХ:20 Гц - 20ц (±0,4 дБ)
Отношение сигнал/шум:&gt;110 дБ
Особенности:технология класса АВ
Питание:110 В – 230 В, 50/60 Гц
Размеры:480х500х90 мм (2U)
Вес:22,5
</v>
      </c>
      <c r="M38" s="131">
        <v>32900</v>
      </c>
      <c r="N38" s="72" t="s">
        <v>1827</v>
      </c>
      <c r="O38" s="72" t="str">
        <f t="shared" si="0"/>
        <v>Усилитель мощности MCF PA-350</v>
      </c>
      <c r="P38" s="72" t="str">
        <f t="shared" si="1"/>
        <v>Усилитель мощности MCF PA-350</v>
      </c>
      <c r="Q38" s="72" t="s">
        <v>1840</v>
      </c>
      <c r="R38" s="15"/>
      <c r="S38" s="72" t="s">
        <v>1837</v>
      </c>
      <c r="T38" s="72" t="s">
        <v>1841</v>
      </c>
      <c r="U38" s="72" t="s">
        <v>1842</v>
      </c>
      <c r="V38" s="72" t="s">
        <v>1843</v>
      </c>
      <c r="W38" s="72" t="s">
        <v>1844</v>
      </c>
      <c r="X38" s="72" t="s">
        <v>1837</v>
      </c>
    </row>
    <row r="39" spans="1:24" ht="165" x14ac:dyDescent="0.25">
      <c r="A39" s="130">
        <v>38</v>
      </c>
      <c r="B39" s="108" t="s">
        <v>1737</v>
      </c>
      <c r="C39" s="108" t="s">
        <v>1678</v>
      </c>
      <c r="D39" s="111" t="s">
        <v>1782</v>
      </c>
      <c r="E39" s="108">
        <v>2</v>
      </c>
      <c r="F39" s="108" t="s">
        <v>1966</v>
      </c>
      <c r="G39" s="108" t="s">
        <v>1734</v>
      </c>
      <c r="H39" s="108" t="s">
        <v>1789</v>
      </c>
      <c r="I39" s="108" t="s">
        <v>1735</v>
      </c>
      <c r="J39" s="108" t="s">
        <v>1736</v>
      </c>
      <c r="K39" s="108" t="s">
        <v>1968</v>
      </c>
      <c r="L39" s="108" t="str">
        <f>CONCATENATE( C1,C39,CHAR(10), D1,D39,CHAR(10), E1,E39,CHAR(10), F1,F39,CHAR(10), G1,G39,CHAR(10), H1,H39,CHAR(10), I1,I39,CHAR(10), J1,J39,CHAR(10), K1,K39,CHAR(10), )</f>
        <v xml:space="preserve">типУсилитель мощности
Выходная мощность:8Ω STEREO: 2 x 500 Вт4Ω STEREO: 2 x 600 Вт2Ω STEREO: 2 x 800 Вт8Ω BRIDGE: 1000 Вт4Ω BRIDGE: 1600 Вт
Каналов:2
АЧХ:20 Гц - 20ц (±0,4 дБ)
Отношение сигнал/шум:&gt;110 дБ
Особенности:технология класса АВ
Питание:110 В – 230 В, 50/60 Гц
Размеры:480х500х90 мм (2U)
Вес:24,5
</v>
      </c>
      <c r="M39" s="131">
        <v>34900</v>
      </c>
      <c r="N39" s="72" t="s">
        <v>1827</v>
      </c>
      <c r="O39" s="72" t="str">
        <f t="shared" si="0"/>
        <v>Усилитель мощности MCF PA-500</v>
      </c>
      <c r="P39" s="72" t="str">
        <f t="shared" si="1"/>
        <v>Усилитель мощности MCF PA-500</v>
      </c>
      <c r="Q39" s="72" t="s">
        <v>1840</v>
      </c>
      <c r="R39" s="15"/>
      <c r="S39" s="72" t="s">
        <v>1837</v>
      </c>
      <c r="T39" s="72" t="s">
        <v>1841</v>
      </c>
      <c r="U39" s="72" t="s">
        <v>1842</v>
      </c>
      <c r="V39" s="72" t="s">
        <v>1843</v>
      </c>
      <c r="W39" s="72" t="s">
        <v>1844</v>
      </c>
      <c r="X39" s="72" t="s">
        <v>1837</v>
      </c>
    </row>
    <row r="40" spans="1:24" ht="180" x14ac:dyDescent="0.25">
      <c r="A40" s="130">
        <v>39</v>
      </c>
      <c r="B40" s="108" t="s">
        <v>1738</v>
      </c>
      <c r="C40" s="108" t="s">
        <v>1678</v>
      </c>
      <c r="D40" s="111" t="s">
        <v>1783</v>
      </c>
      <c r="E40" s="108">
        <v>2</v>
      </c>
      <c r="F40" s="108" t="s">
        <v>1966</v>
      </c>
      <c r="G40" s="108" t="s">
        <v>1734</v>
      </c>
      <c r="H40" s="108" t="s">
        <v>1789</v>
      </c>
      <c r="I40" s="108" t="s">
        <v>1735</v>
      </c>
      <c r="J40" s="108" t="s">
        <v>1736</v>
      </c>
      <c r="K40" s="108" t="s">
        <v>1969</v>
      </c>
      <c r="L40" s="108" t="str">
        <f>CONCATENATE( C1,C40,CHAR(10), D1,D40,CHAR(10), E1,E40,CHAR(10), F1,F40,CHAR(10), G1,G40,CHAR(10), H1,H40,CHAR(10), I1,I40,CHAR(10), J1,J40,CHAR(10), K1,K40,CHAR(10), )</f>
        <v xml:space="preserve">типУсилитель мощности
Выходная мощность:8Ω STEREO: 2 x 600 Вт4Ω STEREO: 2 x 900 Вт2Ω STEREO: 2 x 1100 Вт8Ω BRIDGE: 1800 Вт4Ω BRIDGE: 2000 Вт
Каналов:2
АЧХ:20 Гц - 20ц (±0,4 дБ)
Отношение сигнал/шум:&gt;110 дБ
Особенности:технология класса АВ
Питание:110 В – 230 В, 50/60 Гц
Размеры:480х500х90 мм (2U)
Вес:25,5
</v>
      </c>
      <c r="M40" s="131">
        <v>37900</v>
      </c>
      <c r="N40" s="72" t="s">
        <v>1827</v>
      </c>
      <c r="O40" s="72" t="str">
        <f t="shared" si="0"/>
        <v>Усилитель мощности MCF PA-600</v>
      </c>
      <c r="P40" s="72" t="str">
        <f t="shared" si="1"/>
        <v>Усилитель мощности MCF PA-600</v>
      </c>
      <c r="Q40" s="72" t="s">
        <v>1840</v>
      </c>
      <c r="R40" s="15"/>
      <c r="S40" s="72" t="s">
        <v>1837</v>
      </c>
      <c r="T40" s="72" t="s">
        <v>1841</v>
      </c>
      <c r="U40" s="72" t="s">
        <v>1842</v>
      </c>
      <c r="V40" s="72" t="s">
        <v>1843</v>
      </c>
      <c r="W40" s="72" t="s">
        <v>1844</v>
      </c>
      <c r="X40" s="72" t="s">
        <v>1837</v>
      </c>
    </row>
    <row r="41" spans="1:24" ht="180" x14ac:dyDescent="0.25">
      <c r="A41" s="130">
        <v>40</v>
      </c>
      <c r="B41" s="108" t="s">
        <v>1739</v>
      </c>
      <c r="C41" s="108" t="s">
        <v>1678</v>
      </c>
      <c r="D41" s="111" t="s">
        <v>1784</v>
      </c>
      <c r="E41" s="108">
        <v>2</v>
      </c>
      <c r="F41" s="108" t="s">
        <v>1966</v>
      </c>
      <c r="G41" s="108" t="s">
        <v>1734</v>
      </c>
      <c r="H41" s="108" t="s">
        <v>1789</v>
      </c>
      <c r="I41" s="108" t="s">
        <v>1735</v>
      </c>
      <c r="J41" s="108" t="s">
        <v>1736</v>
      </c>
      <c r="K41" s="108" t="s">
        <v>1970</v>
      </c>
      <c r="L41" s="108" t="str">
        <f>CONCATENATE( C1,C41,CHAR(10), D1,D41,CHAR(10), E1,E41,CHAR(10), F1,F41,CHAR(10), G1,G41,CHAR(10), H1,H41,CHAR(10), I1,I41,CHAR(10), J1,J41,CHAR(10), K1,K41,CHAR(10), )</f>
        <v xml:space="preserve">типУсилитель мощности
Выходная мощность:8Ω STEREO: 2 x 800 Вт4Ω STEREO: 2 x 1100 Вт2Ω STEREO: 2 x 1300 Вт8Ω BRIDGE: 1800 Вт4Ω BRIDGE: 2200 Вт
Каналов:2
АЧХ:20 Гц - 20ц (±0,4 дБ)
Отношение сигнал/шум:&gt;110 дБ
Особенности:технология класса АВ
Питание:110 В – 230 В, 50/60 Гц
Размеры:480х500х90 мм (2U)
Вес:26,5
</v>
      </c>
      <c r="M41" s="131">
        <v>39900</v>
      </c>
      <c r="N41" s="72" t="s">
        <v>1827</v>
      </c>
      <c r="O41" s="72" t="str">
        <f t="shared" si="0"/>
        <v>Усилитель мощности MCF PA-800</v>
      </c>
      <c r="P41" s="72" t="str">
        <f t="shared" si="1"/>
        <v>Усилитель мощности MCF PA-800</v>
      </c>
      <c r="Q41" s="72" t="s">
        <v>1840</v>
      </c>
      <c r="R41" s="15"/>
      <c r="S41" s="72" t="s">
        <v>1837</v>
      </c>
      <c r="T41" s="72" t="s">
        <v>1841</v>
      </c>
      <c r="U41" s="72" t="s">
        <v>1842</v>
      </c>
      <c r="V41" s="72" t="s">
        <v>1843</v>
      </c>
      <c r="W41" s="72" t="s">
        <v>1844</v>
      </c>
      <c r="X41" s="72" t="s">
        <v>1837</v>
      </c>
    </row>
    <row r="42" spans="1:24" ht="180" x14ac:dyDescent="0.25">
      <c r="A42" s="130">
        <v>41</v>
      </c>
      <c r="B42" s="108" t="s">
        <v>1740</v>
      </c>
      <c r="C42" s="108" t="s">
        <v>1678</v>
      </c>
      <c r="D42" s="111" t="s">
        <v>1785</v>
      </c>
      <c r="E42" s="108">
        <v>2</v>
      </c>
      <c r="F42" s="108" t="s">
        <v>1966</v>
      </c>
      <c r="G42" s="108" t="s">
        <v>1734</v>
      </c>
      <c r="H42" s="108" t="s">
        <v>1789</v>
      </c>
      <c r="I42" s="108" t="s">
        <v>1735</v>
      </c>
      <c r="J42" s="108" t="s">
        <v>1736</v>
      </c>
      <c r="K42" s="108" t="s">
        <v>1971</v>
      </c>
      <c r="L42" s="108" t="str">
        <f>CONCATENATE( C1,C42,CHAR(10), D1,D42,CHAR(10), E1,E42,CHAR(10), F1,F42,CHAR(10), G1,G42,CHAR(10), H1,H42,CHAR(10), I1,I42,CHAR(10), J1,J42,CHAR(10), K1,K42,CHAR(10), )</f>
        <v xml:space="preserve">типУсилитель мощности
Выходная мощность:8Ω STEREO: 2 x 1200 Вт4Ω STEREO: 2 x 1600 Вт2Ω STEREO: 2 x 1800 Вт8Ω BRIDGE: 2700 Вт4Ω BRIDGE: 3200 Вт
Каналов:2
АЧХ:20 Гц - 20ц (±0,4 дБ)
Отношение сигнал/шум:&gt;110 дБ
Особенности:технология класса АВ
Питание:110 В – 230 В, 50/60 Гц
Размеры:480х500х90 мм (2U)
Вес:30,5
</v>
      </c>
      <c r="M42" s="131">
        <v>44900</v>
      </c>
      <c r="N42" s="72" t="s">
        <v>1827</v>
      </c>
      <c r="O42" s="72" t="str">
        <f t="shared" si="0"/>
        <v>Усилитель мощности MCF PA-1200</v>
      </c>
      <c r="P42" s="72" t="str">
        <f t="shared" si="1"/>
        <v>Усилитель мощности MCF PA-1200</v>
      </c>
      <c r="Q42" s="72" t="s">
        <v>1840</v>
      </c>
      <c r="R42" s="15"/>
      <c r="S42" s="72" t="s">
        <v>1837</v>
      </c>
      <c r="T42" s="72" t="s">
        <v>1841</v>
      </c>
      <c r="U42" s="72" t="s">
        <v>1842</v>
      </c>
      <c r="V42" s="72" t="s">
        <v>1843</v>
      </c>
      <c r="W42" s="72" t="s">
        <v>1844</v>
      </c>
      <c r="X42" s="72" t="s">
        <v>1837</v>
      </c>
    </row>
    <row r="43" spans="1:24" ht="180" x14ac:dyDescent="0.25">
      <c r="A43" s="130">
        <v>42</v>
      </c>
      <c r="B43" s="108" t="s">
        <v>1741</v>
      </c>
      <c r="C43" s="108" t="s">
        <v>1678</v>
      </c>
      <c r="D43" s="111" t="s">
        <v>1786</v>
      </c>
      <c r="E43" s="108">
        <v>2</v>
      </c>
      <c r="F43" s="108" t="s">
        <v>1966</v>
      </c>
      <c r="G43" s="108" t="s">
        <v>1734</v>
      </c>
      <c r="H43" s="108" t="s">
        <v>1789</v>
      </c>
      <c r="I43" s="108" t="s">
        <v>1735</v>
      </c>
      <c r="J43" s="108" t="s">
        <v>1736</v>
      </c>
      <c r="K43" s="108" t="s">
        <v>1972</v>
      </c>
      <c r="L43" s="108" t="str">
        <f>CONCATENATE( C1,C43,CHAR(10), D1,D43,CHAR(10), E1,E43,CHAR(10), F1,F43,CHAR(10), G1,G43,CHAR(10), H1,H43,CHAR(10), I1,I43,CHAR(10), J1,J43,CHAR(10), K1,K43,CHAR(10), )</f>
        <v xml:space="preserve">типУсилитель мощности
Выходная мощность:8Ω STEREO: 2 x 1400 Вт4Ω STEREO: 2 x 1100 Вт2Ω STEREO: 2 x 2000 Вт8Ω BRIDGE: 3600 Вт4Ω BRIDGE: 3800 Вт
Каналов:2
АЧХ:20 Гц - 20ц (±0,4 дБ)
Отношение сигнал/шум:&gt;110 дБ
Особенности:технология класса АВ
Питание:110 В – 230 В, 50/60 Гц
Размеры:480х500х90 мм (2U)
Вес:32,5
</v>
      </c>
      <c r="M43" s="131">
        <v>47900</v>
      </c>
      <c r="N43" s="72" t="s">
        <v>1827</v>
      </c>
      <c r="O43" s="72" t="str">
        <f t="shared" si="0"/>
        <v>Усилитель мощности MCF PA-1400</v>
      </c>
      <c r="P43" s="72" t="str">
        <f t="shared" si="1"/>
        <v>Усилитель мощности MCF PA-1400</v>
      </c>
      <c r="Q43" s="72" t="s">
        <v>1840</v>
      </c>
      <c r="R43" s="15"/>
      <c r="S43" s="72" t="s">
        <v>1837</v>
      </c>
      <c r="T43" s="72" t="s">
        <v>1841</v>
      </c>
      <c r="U43" s="72" t="s">
        <v>1842</v>
      </c>
      <c r="V43" s="72" t="s">
        <v>1843</v>
      </c>
      <c r="W43" s="72" t="s">
        <v>1844</v>
      </c>
      <c r="X43" s="72" t="s">
        <v>1837</v>
      </c>
    </row>
    <row r="44" spans="1:24" ht="180" x14ac:dyDescent="0.25">
      <c r="A44" s="130">
        <v>43</v>
      </c>
      <c r="B44" s="108" t="s">
        <v>1742</v>
      </c>
      <c r="C44" s="108" t="s">
        <v>1678</v>
      </c>
      <c r="D44" s="111" t="s">
        <v>1787</v>
      </c>
      <c r="E44" s="108">
        <v>2</v>
      </c>
      <c r="F44" s="108" t="s">
        <v>1966</v>
      </c>
      <c r="G44" s="108" t="s">
        <v>1734</v>
      </c>
      <c r="H44" s="108" t="s">
        <v>1789</v>
      </c>
      <c r="I44" s="108" t="s">
        <v>1735</v>
      </c>
      <c r="J44" s="108" t="s">
        <v>1736</v>
      </c>
      <c r="K44" s="108">
        <v>33</v>
      </c>
      <c r="L44" s="108" t="str">
        <f>CONCATENATE( C1,C44,CHAR(10), D1,D44,CHAR(10), E1,E44,CHAR(10), F1,F44,CHAR(10), G1,G44,CHAR(10), H1,H44,CHAR(10), I1,I44,CHAR(10), J1,J44,CHAR(10), K1,K44,CHAR(10), )</f>
        <v xml:space="preserve">типУсилитель мощности
Выходная мощность:8Ω STEREO: 2 x 1600 Вт4Ω STEREO: 2 x 2100 Вт2Ω STEREO: 2 x 2300 Вт8Ω BRIDGE: 3600 Вт4Ω BRIDGE: 4200 Вт
Каналов:2
АЧХ:20 Гц - 20ц (±0,4 дБ)
Отношение сигнал/шум:&gt;110 дБ
Особенности:технология класса АВ
Питание:110 В – 230 В, 50/60 Гц
Размеры:480х500х90 мм (2U)
Вес:33
</v>
      </c>
      <c r="M44" s="131">
        <v>49900</v>
      </c>
      <c r="N44" s="72" t="s">
        <v>1827</v>
      </c>
      <c r="O44" s="72" t="str">
        <f t="shared" si="0"/>
        <v>Усилитель мощности MCF PA-1600</v>
      </c>
      <c r="P44" s="72" t="str">
        <f t="shared" si="1"/>
        <v>Усилитель мощности MCF PA-1600</v>
      </c>
      <c r="Q44" s="72" t="s">
        <v>1840</v>
      </c>
      <c r="R44" s="15"/>
      <c r="S44" s="72" t="s">
        <v>1837</v>
      </c>
      <c r="T44" s="72" t="s">
        <v>1841</v>
      </c>
      <c r="U44" s="72" t="s">
        <v>1842</v>
      </c>
      <c r="V44" s="72" t="s">
        <v>1843</v>
      </c>
      <c r="W44" s="72" t="s">
        <v>1844</v>
      </c>
      <c r="X44" s="72" t="s">
        <v>1837</v>
      </c>
    </row>
    <row r="45" spans="1:24" ht="180" x14ac:dyDescent="0.25">
      <c r="A45" s="130">
        <v>44</v>
      </c>
      <c r="B45" s="108" t="s">
        <v>1743</v>
      </c>
      <c r="C45" s="108" t="s">
        <v>1678</v>
      </c>
      <c r="D45" s="111" t="s">
        <v>1788</v>
      </c>
      <c r="E45" s="108">
        <v>2</v>
      </c>
      <c r="F45" s="108" t="s">
        <v>1966</v>
      </c>
      <c r="G45" s="108" t="s">
        <v>1734</v>
      </c>
      <c r="H45" s="108" t="s">
        <v>1789</v>
      </c>
      <c r="I45" s="108" t="s">
        <v>1735</v>
      </c>
      <c r="J45" s="108" t="s">
        <v>1736</v>
      </c>
      <c r="K45" s="108" t="s">
        <v>1971</v>
      </c>
      <c r="L45" s="108" t="str">
        <f>CONCATENATE( C1,C45,CHAR(10), D1,D45,CHAR(10), E1,E45,CHAR(10), F1,F45,CHAR(10), G1,G45,CHAR(10), H1,H45,CHAR(10), I1,I45,CHAR(10), J1,J45,CHAR(10), K1,K45,CHAR(10), )</f>
        <v xml:space="preserve">типУсилитель мощности
Выходная мощность:8Ω STEREO: 2 x 2100 Вт4Ω STEREO: 2 x 2800 Вт2Ω STEREO: 2 x 3200 Вт8Ω BRIDGE: 4200 Вт4Ω BRIDGE: 5600 Вт
Каналов:2
АЧХ:20 Гц - 20ц (±0,4 дБ)
Отношение сигнал/шум:&gt;110 дБ
Особенности:технология класса АВ
Питание:110 В – 230 В, 50/60 Гц
Размеры:480х500х90 мм (2U)
Вес:30,5
</v>
      </c>
      <c r="M45" s="131">
        <v>59900</v>
      </c>
      <c r="N45" s="72" t="s">
        <v>1827</v>
      </c>
      <c r="O45" s="72" t="str">
        <f t="shared" si="0"/>
        <v>Усилитель мощности MCF PA-2100</v>
      </c>
      <c r="P45" s="72" t="str">
        <f t="shared" si="1"/>
        <v>Усилитель мощности MCF PA-2100</v>
      </c>
      <c r="Q45" s="72" t="s">
        <v>1840</v>
      </c>
      <c r="R45" s="15"/>
      <c r="S45" s="72" t="s">
        <v>1837</v>
      </c>
      <c r="T45" s="72" t="s">
        <v>1841</v>
      </c>
      <c r="U45" s="72" t="s">
        <v>1842</v>
      </c>
      <c r="V45" s="72" t="s">
        <v>1843</v>
      </c>
      <c r="W45" s="72" t="s">
        <v>1844</v>
      </c>
      <c r="X45" s="72" t="s">
        <v>1837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C20"/>
  <sheetViews>
    <sheetView zoomScale="55" zoomScaleNormal="55" workbookViewId="0">
      <pane ySplit="1" topLeftCell="A2" activePane="bottomLeft" state="frozen"/>
      <selection activeCell="H1" sqref="H1"/>
      <selection pane="bottomLeft" sqref="A1:AC20"/>
    </sheetView>
  </sheetViews>
  <sheetFormatPr defaultRowHeight="15.75" x14ac:dyDescent="0.25"/>
  <cols>
    <col min="1" max="1" width="9.140625" style="49"/>
    <col min="2" max="2" width="21" style="6" customWidth="1"/>
    <col min="3" max="3" width="35" style="6" hidden="1" customWidth="1"/>
    <col min="4" max="4" width="17.140625" style="6" hidden="1" customWidth="1"/>
    <col min="5" max="5" width="36.5703125" style="6" hidden="1" customWidth="1"/>
    <col min="6" max="6" width="18.85546875" style="6" hidden="1" customWidth="1"/>
    <col min="7" max="7" width="22.5703125" style="6" hidden="1" customWidth="1"/>
    <col min="8" max="8" width="30.140625" style="6" hidden="1" customWidth="1"/>
    <col min="9" max="9" width="26" style="6" hidden="1" customWidth="1"/>
    <col min="10" max="10" width="15.7109375" style="6" hidden="1" customWidth="1"/>
    <col min="11" max="11" width="19" style="6" hidden="1" customWidth="1"/>
    <col min="12" max="12" width="15.85546875" style="6" customWidth="1"/>
    <col min="13" max="13" width="22" style="6" customWidth="1"/>
    <col min="14" max="14" width="18.7109375" style="6" hidden="1" customWidth="1"/>
    <col min="15" max="16" width="0" style="6" hidden="1" customWidth="1"/>
    <col min="17" max="18" width="9.140625" style="6"/>
    <col min="19" max="19" width="15" style="6" bestFit="1" customWidth="1"/>
    <col min="20" max="16384" width="9.140625" style="6"/>
  </cols>
  <sheetData>
    <row r="1" spans="1:29" s="52" customFormat="1" ht="45" customHeight="1" x14ac:dyDescent="0.25">
      <c r="A1" s="52" t="s">
        <v>636</v>
      </c>
      <c r="B1" s="52" t="s">
        <v>0</v>
      </c>
      <c r="C1" s="46" t="s">
        <v>361</v>
      </c>
      <c r="D1" s="46" t="s">
        <v>362</v>
      </c>
      <c r="E1" s="46" t="s">
        <v>364</v>
      </c>
      <c r="F1" s="51" t="s">
        <v>365</v>
      </c>
      <c r="G1" s="51" t="s">
        <v>366</v>
      </c>
      <c r="H1" s="46" t="s">
        <v>369</v>
      </c>
      <c r="I1" s="46" t="s">
        <v>371</v>
      </c>
      <c r="J1" s="46" t="s">
        <v>372</v>
      </c>
      <c r="K1" s="46" t="s">
        <v>142</v>
      </c>
      <c r="L1" s="46" t="s">
        <v>115</v>
      </c>
      <c r="M1" s="46" t="s">
        <v>375</v>
      </c>
      <c r="N1" s="46"/>
      <c r="O1" s="46"/>
      <c r="P1" s="46"/>
      <c r="R1" s="141" t="s">
        <v>1826</v>
      </c>
      <c r="S1" s="142" t="s">
        <v>1828</v>
      </c>
      <c r="T1" s="142" t="s">
        <v>1829</v>
      </c>
      <c r="U1" s="142" t="s">
        <v>1830</v>
      </c>
      <c r="V1" s="142" t="s">
        <v>1831</v>
      </c>
      <c r="W1" s="142" t="s">
        <v>1832</v>
      </c>
      <c r="X1" s="142" t="s">
        <v>1833</v>
      </c>
      <c r="Y1" s="142" t="s">
        <v>1834</v>
      </c>
      <c r="Z1" s="142" t="s">
        <v>1835</v>
      </c>
      <c r="AA1" s="142" t="s">
        <v>1836</v>
      </c>
      <c r="AB1" s="35" t="s">
        <v>1845</v>
      </c>
      <c r="AC1" s="35"/>
    </row>
    <row r="2" spans="1:29" s="9" customFormat="1" ht="51" customHeight="1" x14ac:dyDescent="0.25">
      <c r="A2" s="40">
        <v>1</v>
      </c>
      <c r="B2" s="14" t="s">
        <v>455</v>
      </c>
      <c r="C2" s="16" t="s">
        <v>456</v>
      </c>
      <c r="D2" s="16" t="s">
        <v>363</v>
      </c>
      <c r="E2" s="16" t="s">
        <v>458</v>
      </c>
      <c r="F2" s="16" t="s">
        <v>367</v>
      </c>
      <c r="G2" s="16" t="s">
        <v>368</v>
      </c>
      <c r="H2" s="16" t="s">
        <v>370</v>
      </c>
      <c r="I2" s="16" t="s">
        <v>457</v>
      </c>
      <c r="J2" s="16" t="s">
        <v>373</v>
      </c>
      <c r="K2" s="16" t="s">
        <v>202</v>
      </c>
      <c r="L2" s="16" t="s">
        <v>374</v>
      </c>
      <c r="M2" s="16" t="s">
        <v>213</v>
      </c>
      <c r="N2" s="16"/>
      <c r="O2" s="16"/>
      <c r="P2" s="16"/>
      <c r="Q2" s="15" t="s">
        <v>486</v>
      </c>
      <c r="R2" s="140" t="s">
        <v>1827</v>
      </c>
      <c r="S2" s="2" t="str">
        <f>B2</f>
        <v>Процессор MCF IAP-8000</v>
      </c>
      <c r="T2" s="2" t="str">
        <f>CONCATENATE(AD2,S2)</f>
        <v>Процессор MCF IAP-8000</v>
      </c>
      <c r="U2" s="2" t="s">
        <v>1840</v>
      </c>
      <c r="V2" s="2"/>
      <c r="W2" s="2" t="s">
        <v>1837</v>
      </c>
      <c r="X2" s="143" t="s">
        <v>1841</v>
      </c>
      <c r="Y2" s="143" t="s">
        <v>1842</v>
      </c>
      <c r="Z2" s="143" t="s">
        <v>1843</v>
      </c>
      <c r="AA2" s="143" t="s">
        <v>1844</v>
      </c>
      <c r="AB2" s="2" t="s">
        <v>1837</v>
      </c>
      <c r="AC2" s="2" t="s">
        <v>1837</v>
      </c>
    </row>
    <row r="3" spans="1:29" s="39" customFormat="1" ht="32.25" customHeight="1" x14ac:dyDescent="0.25">
      <c r="B3" s="45"/>
      <c r="C3" s="46" t="s">
        <v>376</v>
      </c>
      <c r="D3" s="46" t="s">
        <v>378</v>
      </c>
      <c r="E3" s="46" t="s">
        <v>380</v>
      </c>
      <c r="F3" s="46" t="s">
        <v>382</v>
      </c>
      <c r="G3" s="46" t="s">
        <v>384</v>
      </c>
      <c r="H3" s="46" t="s">
        <v>386</v>
      </c>
      <c r="I3" s="46"/>
      <c r="J3" s="46"/>
      <c r="K3" s="46"/>
      <c r="L3" s="46"/>
      <c r="M3" s="46"/>
      <c r="N3" s="46"/>
      <c r="O3" s="46"/>
      <c r="P3" s="46"/>
      <c r="R3" s="140" t="s">
        <v>1827</v>
      </c>
      <c r="S3" s="2">
        <f t="shared" ref="S3:S20" si="0">B3</f>
        <v>0</v>
      </c>
      <c r="T3" s="2" t="str">
        <f t="shared" ref="T3:T12" si="1">CONCATENATE(AD3,S3)</f>
        <v>0</v>
      </c>
      <c r="U3" s="2" t="s">
        <v>1840</v>
      </c>
      <c r="V3" s="15"/>
      <c r="W3" s="2" t="s">
        <v>1837</v>
      </c>
      <c r="X3" s="143" t="s">
        <v>1841</v>
      </c>
      <c r="Y3" s="143" t="s">
        <v>1842</v>
      </c>
      <c r="Z3" s="143" t="s">
        <v>1843</v>
      </c>
      <c r="AA3" s="143" t="s">
        <v>1844</v>
      </c>
      <c r="AB3" s="2" t="s">
        <v>1837</v>
      </c>
      <c r="AC3" s="2" t="s">
        <v>1837</v>
      </c>
    </row>
    <row r="4" spans="1:29" ht="49.5" customHeight="1" x14ac:dyDescent="0.25">
      <c r="A4" s="49">
        <v>2</v>
      </c>
      <c r="B4" s="30" t="s">
        <v>459</v>
      </c>
      <c r="C4" s="26" t="s">
        <v>377</v>
      </c>
      <c r="D4" s="26" t="s">
        <v>379</v>
      </c>
      <c r="E4" s="26" t="s">
        <v>381</v>
      </c>
      <c r="F4" s="26" t="s">
        <v>383</v>
      </c>
      <c r="G4" s="26" t="s">
        <v>385</v>
      </c>
      <c r="H4" s="26" t="s">
        <v>460</v>
      </c>
      <c r="Q4" s="31">
        <v>8900</v>
      </c>
      <c r="R4" s="140" t="s">
        <v>1827</v>
      </c>
      <c r="S4" s="2" t="str">
        <f t="shared" si="0"/>
        <v>Сетевой контроллер  MCF PSC-900</v>
      </c>
      <c r="T4" s="2" t="str">
        <f t="shared" si="1"/>
        <v>Сетевой контроллер  MCF PSC-900</v>
      </c>
      <c r="U4" s="2" t="s">
        <v>1840</v>
      </c>
      <c r="V4" s="15"/>
      <c r="W4" s="2" t="s">
        <v>1837</v>
      </c>
      <c r="X4" s="143" t="s">
        <v>1841</v>
      </c>
      <c r="Y4" s="143" t="s">
        <v>1842</v>
      </c>
      <c r="Z4" s="143" t="s">
        <v>1843</v>
      </c>
      <c r="AA4" s="143" t="s">
        <v>1844</v>
      </c>
      <c r="AB4" s="2" t="s">
        <v>1837</v>
      </c>
      <c r="AC4" s="2" t="s">
        <v>1837</v>
      </c>
    </row>
    <row r="5" spans="1:29" s="9" customFormat="1" ht="31.5" customHeight="1" x14ac:dyDescent="0.25">
      <c r="A5" s="40">
        <v>3</v>
      </c>
      <c r="B5" s="14" t="s">
        <v>461</v>
      </c>
      <c r="C5" s="16" t="s">
        <v>377</v>
      </c>
      <c r="D5" s="16" t="s">
        <v>379</v>
      </c>
      <c r="E5" s="16" t="s">
        <v>381</v>
      </c>
      <c r="F5" s="16" t="s">
        <v>383</v>
      </c>
      <c r="G5" s="16" t="s">
        <v>385</v>
      </c>
      <c r="H5" s="16" t="s">
        <v>462</v>
      </c>
      <c r="Q5" s="15" t="s">
        <v>487</v>
      </c>
      <c r="R5" s="140" t="s">
        <v>1827</v>
      </c>
      <c r="S5" s="2" t="str">
        <f t="shared" si="0"/>
        <v>Сетевой контроллер MCF PSC-950</v>
      </c>
      <c r="T5" s="2" t="str">
        <f t="shared" si="1"/>
        <v>Сетевой контроллер MCF PSC-950</v>
      </c>
      <c r="U5" s="2" t="s">
        <v>1840</v>
      </c>
      <c r="V5" s="15"/>
      <c r="W5" s="2" t="s">
        <v>1837</v>
      </c>
      <c r="X5" s="143" t="s">
        <v>1841</v>
      </c>
      <c r="Y5" s="143" t="s">
        <v>1842</v>
      </c>
      <c r="Z5" s="143" t="s">
        <v>1843</v>
      </c>
      <c r="AA5" s="143" t="s">
        <v>1844</v>
      </c>
      <c r="AB5" s="2" t="s">
        <v>1837</v>
      </c>
      <c r="AC5" s="2" t="s">
        <v>1837</v>
      </c>
    </row>
    <row r="6" spans="1:29" ht="49.5" customHeight="1" x14ac:dyDescent="0.25">
      <c r="A6" s="49">
        <v>4</v>
      </c>
      <c r="B6" s="30" t="s">
        <v>463</v>
      </c>
      <c r="C6" s="26" t="s">
        <v>377</v>
      </c>
      <c r="D6" s="26" t="s">
        <v>379</v>
      </c>
      <c r="E6" s="26" t="s">
        <v>387</v>
      </c>
      <c r="F6" s="26" t="s">
        <v>383</v>
      </c>
      <c r="G6" s="26" t="s">
        <v>385</v>
      </c>
      <c r="H6" s="26" t="s">
        <v>460</v>
      </c>
      <c r="Q6" s="32" t="s">
        <v>355</v>
      </c>
      <c r="R6" s="140" t="s">
        <v>1827</v>
      </c>
      <c r="S6" s="2" t="str">
        <f t="shared" si="0"/>
        <v>Сетевой контроллер MCFMR-100I</v>
      </c>
      <c r="T6" s="2" t="str">
        <f t="shared" si="1"/>
        <v>Сетевой контроллер MCFMR-100I</v>
      </c>
      <c r="U6" s="2" t="s">
        <v>1840</v>
      </c>
      <c r="V6" s="15"/>
      <c r="W6" s="2" t="s">
        <v>1837</v>
      </c>
      <c r="X6" s="143" t="s">
        <v>1841</v>
      </c>
      <c r="Y6" s="143" t="s">
        <v>1842</v>
      </c>
      <c r="Z6" s="143" t="s">
        <v>1843</v>
      </c>
      <c r="AA6" s="143" t="s">
        <v>1844</v>
      </c>
      <c r="AB6" s="2" t="s">
        <v>1837</v>
      </c>
      <c r="AC6" s="2" t="s">
        <v>1837</v>
      </c>
    </row>
    <row r="7" spans="1:29" s="39" customFormat="1" ht="35.25" customHeight="1" x14ac:dyDescent="0.25">
      <c r="B7" s="45"/>
      <c r="C7" s="51" t="s">
        <v>388</v>
      </c>
      <c r="D7" s="46" t="s">
        <v>390</v>
      </c>
      <c r="E7" s="46" t="s">
        <v>391</v>
      </c>
      <c r="F7" s="46" t="s">
        <v>393</v>
      </c>
      <c r="G7" s="46" t="s">
        <v>395</v>
      </c>
      <c r="H7" s="46" t="s">
        <v>397</v>
      </c>
      <c r="I7" s="46" t="s">
        <v>399</v>
      </c>
      <c r="J7" s="46" t="s">
        <v>401</v>
      </c>
      <c r="Q7" s="42"/>
      <c r="R7" s="140" t="s">
        <v>1827</v>
      </c>
      <c r="S7" s="2">
        <f t="shared" si="0"/>
        <v>0</v>
      </c>
      <c r="T7" s="2" t="str">
        <f t="shared" si="1"/>
        <v>0</v>
      </c>
      <c r="U7" s="2" t="s">
        <v>1840</v>
      </c>
      <c r="V7" s="15"/>
      <c r="W7" s="2" t="s">
        <v>1837</v>
      </c>
      <c r="X7" s="143" t="s">
        <v>1841</v>
      </c>
      <c r="Y7" s="143" t="s">
        <v>1842</v>
      </c>
      <c r="Z7" s="143" t="s">
        <v>1843</v>
      </c>
      <c r="AA7" s="143" t="s">
        <v>1844</v>
      </c>
      <c r="AB7" s="2" t="s">
        <v>1837</v>
      </c>
      <c r="AC7" s="2" t="s">
        <v>1837</v>
      </c>
    </row>
    <row r="8" spans="1:29" s="9" customFormat="1" ht="51" customHeight="1" x14ac:dyDescent="0.25">
      <c r="A8" s="40">
        <v>5</v>
      </c>
      <c r="B8" s="14" t="s">
        <v>464</v>
      </c>
      <c r="C8" s="16" t="s">
        <v>389</v>
      </c>
      <c r="D8" s="16" t="s">
        <v>465</v>
      </c>
      <c r="E8" s="16" t="s">
        <v>392</v>
      </c>
      <c r="F8" s="16" t="s">
        <v>394</v>
      </c>
      <c r="G8" s="16" t="s">
        <v>396</v>
      </c>
      <c r="H8" s="16" t="s">
        <v>398</v>
      </c>
      <c r="I8" s="16" t="s">
        <v>400</v>
      </c>
      <c r="J8" s="16" t="s">
        <v>402</v>
      </c>
      <c r="Q8" s="23">
        <v>7000</v>
      </c>
      <c r="R8" s="140" t="s">
        <v>1827</v>
      </c>
      <c r="S8" s="2" t="str">
        <f t="shared" si="0"/>
        <v>Дистрибьютор питания рэковый MCFVG-2008</v>
      </c>
      <c r="T8" s="2" t="str">
        <f t="shared" si="1"/>
        <v>Дистрибьютор питания рэковый MCFVG-2008</v>
      </c>
      <c r="U8" s="2" t="s">
        <v>1840</v>
      </c>
      <c r="V8" s="15"/>
      <c r="W8" s="2" t="s">
        <v>1837</v>
      </c>
      <c r="X8" s="143" t="s">
        <v>1841</v>
      </c>
      <c r="Y8" s="143" t="s">
        <v>1842</v>
      </c>
      <c r="Z8" s="143" t="s">
        <v>1843</v>
      </c>
      <c r="AA8" s="143" t="s">
        <v>1844</v>
      </c>
      <c r="AB8" s="2" t="s">
        <v>1837</v>
      </c>
      <c r="AC8" s="2" t="s">
        <v>1837</v>
      </c>
    </row>
    <row r="9" spans="1:29" s="39" customFormat="1" ht="35.25" customHeight="1" x14ac:dyDescent="0.25">
      <c r="B9" s="45"/>
      <c r="C9" s="46" t="s">
        <v>403</v>
      </c>
      <c r="D9" s="46" t="s">
        <v>405</v>
      </c>
      <c r="E9" s="46" t="s">
        <v>466</v>
      </c>
      <c r="F9" s="46" t="s">
        <v>467</v>
      </c>
      <c r="G9" s="46" t="s">
        <v>407</v>
      </c>
      <c r="H9" s="46" t="s">
        <v>409</v>
      </c>
      <c r="I9" s="46" t="s">
        <v>411</v>
      </c>
      <c r="J9" s="46" t="s">
        <v>413</v>
      </c>
      <c r="K9" s="46" t="s">
        <v>415</v>
      </c>
      <c r="L9" s="46" t="s">
        <v>417</v>
      </c>
      <c r="M9" s="51" t="s">
        <v>418</v>
      </c>
      <c r="N9" s="46" t="s">
        <v>419</v>
      </c>
      <c r="O9" s="46" t="s">
        <v>421</v>
      </c>
      <c r="P9" s="46"/>
      <c r="Q9" s="42"/>
      <c r="R9" s="140" t="s">
        <v>1827</v>
      </c>
      <c r="S9" s="2">
        <f t="shared" si="0"/>
        <v>0</v>
      </c>
      <c r="T9" s="2" t="str">
        <f t="shared" si="1"/>
        <v>0</v>
      </c>
      <c r="U9" s="2" t="s">
        <v>1840</v>
      </c>
      <c r="V9" s="15"/>
      <c r="W9" s="2" t="s">
        <v>1837</v>
      </c>
      <c r="X9" s="143" t="s">
        <v>1841</v>
      </c>
      <c r="Y9" s="143" t="s">
        <v>1842</v>
      </c>
      <c r="Z9" s="143" t="s">
        <v>1843</v>
      </c>
      <c r="AA9" s="143" t="s">
        <v>1844</v>
      </c>
      <c r="AB9" s="2" t="s">
        <v>1837</v>
      </c>
      <c r="AC9" s="2" t="s">
        <v>1837</v>
      </c>
    </row>
    <row r="10" spans="1:29" s="28" customFormat="1" ht="31.5" customHeight="1" x14ac:dyDescent="0.25">
      <c r="A10" s="50">
        <v>6</v>
      </c>
      <c r="B10" s="33" t="s">
        <v>470</v>
      </c>
      <c r="C10" s="27" t="s">
        <v>404</v>
      </c>
      <c r="D10" s="27" t="s">
        <v>406</v>
      </c>
      <c r="E10" s="27" t="s">
        <v>449</v>
      </c>
      <c r="F10" s="27" t="s">
        <v>468</v>
      </c>
      <c r="G10" s="27" t="s">
        <v>408</v>
      </c>
      <c r="H10" s="27" t="s">
        <v>410</v>
      </c>
      <c r="I10" s="27" t="s">
        <v>412</v>
      </c>
      <c r="J10" s="27" t="s">
        <v>414</v>
      </c>
      <c r="K10" s="27" t="s">
        <v>416</v>
      </c>
      <c r="L10" s="27" t="s">
        <v>416</v>
      </c>
      <c r="M10" s="27" t="s">
        <v>469</v>
      </c>
      <c r="N10" s="27" t="s">
        <v>420</v>
      </c>
      <c r="O10" s="27" t="s">
        <v>422</v>
      </c>
      <c r="P10" s="27"/>
      <c r="Q10" s="34" t="s">
        <v>488</v>
      </c>
      <c r="R10" s="140" t="s">
        <v>1827</v>
      </c>
      <c r="S10" s="2" t="str">
        <f t="shared" si="0"/>
        <v>Процессор MCF DSP-2060</v>
      </c>
      <c r="T10" s="2" t="str">
        <f t="shared" si="1"/>
        <v>Процессор MCF DSP-2060</v>
      </c>
      <c r="U10" s="2" t="s">
        <v>1840</v>
      </c>
      <c r="V10" s="15"/>
      <c r="W10" s="2" t="s">
        <v>1837</v>
      </c>
      <c r="X10" s="143" t="s">
        <v>1841</v>
      </c>
      <c r="Y10" s="143" t="s">
        <v>1842</v>
      </c>
      <c r="Z10" s="143" t="s">
        <v>1843</v>
      </c>
      <c r="AA10" s="143" t="s">
        <v>1844</v>
      </c>
      <c r="AB10" s="2" t="s">
        <v>1837</v>
      </c>
      <c r="AC10" s="2" t="s">
        <v>1837</v>
      </c>
    </row>
    <row r="11" spans="1:29" s="39" customFormat="1" ht="32.25" customHeight="1" x14ac:dyDescent="0.25">
      <c r="B11" s="45"/>
      <c r="C11" s="46" t="s">
        <v>423</v>
      </c>
      <c r="D11" s="46" t="s">
        <v>403</v>
      </c>
      <c r="E11" s="46" t="s">
        <v>425</v>
      </c>
      <c r="F11" s="46" t="s">
        <v>427</v>
      </c>
      <c r="G11" s="46" t="s">
        <v>429</v>
      </c>
      <c r="H11" s="46" t="s">
        <v>431</v>
      </c>
      <c r="I11" s="46" t="s">
        <v>432</v>
      </c>
      <c r="J11" s="46" t="s">
        <v>433</v>
      </c>
      <c r="K11" s="46"/>
      <c r="L11" s="46"/>
      <c r="M11" s="46"/>
      <c r="N11" s="46"/>
      <c r="O11" s="46"/>
      <c r="P11" s="46"/>
      <c r="Q11" s="42"/>
      <c r="R11" s="140" t="s">
        <v>1827</v>
      </c>
      <c r="S11" s="2">
        <f t="shared" si="0"/>
        <v>0</v>
      </c>
      <c r="T11" s="2" t="str">
        <f t="shared" si="1"/>
        <v>0</v>
      </c>
      <c r="U11" s="2" t="s">
        <v>1840</v>
      </c>
      <c r="V11" s="15"/>
      <c r="W11" s="2" t="s">
        <v>1837</v>
      </c>
      <c r="X11" s="143" t="s">
        <v>1841</v>
      </c>
      <c r="Y11" s="143" t="s">
        <v>1842</v>
      </c>
      <c r="Z11" s="143" t="s">
        <v>1843</v>
      </c>
      <c r="AA11" s="143" t="s">
        <v>1844</v>
      </c>
      <c r="AB11" s="2" t="s">
        <v>1837</v>
      </c>
      <c r="AC11" s="2" t="s">
        <v>1837</v>
      </c>
    </row>
    <row r="12" spans="1:29" ht="31.5" customHeight="1" x14ac:dyDescent="0.25">
      <c r="A12" s="49">
        <v>7</v>
      </c>
      <c r="B12" s="30" t="s">
        <v>471</v>
      </c>
      <c r="C12" s="26" t="s">
        <v>424</v>
      </c>
      <c r="D12" s="26" t="s">
        <v>472</v>
      </c>
      <c r="E12" s="26" t="s">
        <v>426</v>
      </c>
      <c r="F12" s="26" t="s">
        <v>428</v>
      </c>
      <c r="G12" s="26" t="s">
        <v>430</v>
      </c>
      <c r="H12" s="26" t="s">
        <v>473</v>
      </c>
      <c r="J12" s="26" t="s">
        <v>434</v>
      </c>
      <c r="Q12" s="31">
        <v>34900</v>
      </c>
      <c r="R12" s="140" t="s">
        <v>1827</v>
      </c>
      <c r="S12" s="2" t="str">
        <f t="shared" si="0"/>
        <v>Процессор MCF DSP-3060</v>
      </c>
      <c r="T12" s="2" t="str">
        <f t="shared" si="1"/>
        <v>Процессор MCF DSP-3060</v>
      </c>
      <c r="U12" s="2" t="s">
        <v>1840</v>
      </c>
      <c r="V12" s="15"/>
      <c r="W12" s="2" t="s">
        <v>1837</v>
      </c>
      <c r="X12" s="143" t="s">
        <v>1841</v>
      </c>
      <c r="Y12" s="143" t="s">
        <v>1842</v>
      </c>
      <c r="Z12" s="143" t="s">
        <v>1843</v>
      </c>
      <c r="AA12" s="143" t="s">
        <v>1844</v>
      </c>
      <c r="AB12" s="2" t="s">
        <v>1837</v>
      </c>
      <c r="AC12" s="2" t="s">
        <v>1837</v>
      </c>
    </row>
    <row r="13" spans="1:29" s="39" customFormat="1" ht="31.5" customHeight="1" x14ac:dyDescent="0.25">
      <c r="B13" s="45"/>
      <c r="C13" s="46" t="s">
        <v>435</v>
      </c>
      <c r="D13" s="46" t="s">
        <v>436</v>
      </c>
      <c r="E13" s="46" t="s">
        <v>437</v>
      </c>
      <c r="F13" s="46" t="s">
        <v>438</v>
      </c>
      <c r="G13" s="46" t="s">
        <v>438</v>
      </c>
      <c r="H13" s="46" t="s">
        <v>441</v>
      </c>
      <c r="J13" s="46"/>
      <c r="Q13" s="42"/>
      <c r="R13" s="141" t="s">
        <v>1826</v>
      </c>
      <c r="S13" s="2">
        <f t="shared" si="0"/>
        <v>0</v>
      </c>
      <c r="T13" s="142" t="s">
        <v>1829</v>
      </c>
      <c r="U13" s="142" t="s">
        <v>1830</v>
      </c>
      <c r="V13" s="142" t="s">
        <v>1831</v>
      </c>
      <c r="W13" s="142" t="s">
        <v>1832</v>
      </c>
      <c r="X13" s="142" t="s">
        <v>1833</v>
      </c>
      <c r="Y13" s="142" t="s">
        <v>1834</v>
      </c>
      <c r="Z13" s="142" t="s">
        <v>1835</v>
      </c>
      <c r="AA13" s="142" t="s">
        <v>1836</v>
      </c>
      <c r="AB13" s="35" t="s">
        <v>1845</v>
      </c>
      <c r="AC13" s="35"/>
    </row>
    <row r="14" spans="1:29" s="9" customFormat="1" ht="116.25" customHeight="1" x14ac:dyDescent="0.25">
      <c r="A14" s="40">
        <v>8</v>
      </c>
      <c r="B14" s="14" t="s">
        <v>474</v>
      </c>
      <c r="C14" s="16" t="s">
        <v>475</v>
      </c>
      <c r="D14" s="16"/>
      <c r="E14" s="16" t="s">
        <v>476</v>
      </c>
      <c r="F14" s="16" t="s">
        <v>439</v>
      </c>
      <c r="G14" s="16" t="s">
        <v>440</v>
      </c>
      <c r="H14" s="16" t="s">
        <v>442</v>
      </c>
      <c r="Q14" s="15" t="s">
        <v>489</v>
      </c>
      <c r="R14" s="140" t="s">
        <v>1827</v>
      </c>
      <c r="S14" s="2" t="str">
        <f t="shared" si="0"/>
        <v>Процессор MCF DSP-8800</v>
      </c>
      <c r="T14" s="2" t="str">
        <f>CONCATENATE(AD14,S14)</f>
        <v>Процессор MCF DSP-8800</v>
      </c>
      <c r="U14" s="2" t="s">
        <v>1840</v>
      </c>
      <c r="V14" s="2"/>
      <c r="W14" s="2" t="s">
        <v>1837</v>
      </c>
      <c r="X14" s="143" t="s">
        <v>1841</v>
      </c>
      <c r="Y14" s="143" t="s">
        <v>1842</v>
      </c>
      <c r="Z14" s="143" t="s">
        <v>1843</v>
      </c>
      <c r="AA14" s="143" t="s">
        <v>1844</v>
      </c>
      <c r="AB14" s="2" t="s">
        <v>1837</v>
      </c>
      <c r="AC14" s="2" t="s">
        <v>1837</v>
      </c>
    </row>
    <row r="15" spans="1:29" s="39" customFormat="1" ht="31.5" x14ac:dyDescent="0.25">
      <c r="B15" s="45"/>
      <c r="C15" s="46" t="s">
        <v>423</v>
      </c>
      <c r="D15" s="46" t="s">
        <v>403</v>
      </c>
      <c r="E15" s="46" t="s">
        <v>425</v>
      </c>
      <c r="F15" s="51" t="s">
        <v>427</v>
      </c>
      <c r="G15" s="46" t="s">
        <v>429</v>
      </c>
      <c r="H15" s="46" t="s">
        <v>431</v>
      </c>
      <c r="I15" s="46" t="s">
        <v>443</v>
      </c>
      <c r="J15" s="46" t="s">
        <v>445</v>
      </c>
      <c r="K15" s="46" t="s">
        <v>433</v>
      </c>
      <c r="Q15" s="42"/>
      <c r="R15" s="140" t="s">
        <v>1827</v>
      </c>
      <c r="S15" s="2">
        <f t="shared" si="0"/>
        <v>0</v>
      </c>
      <c r="T15" s="2" t="str">
        <f t="shared" ref="T15:T20" si="2">CONCATENATE(AD15,S15)</f>
        <v>0</v>
      </c>
      <c r="U15" s="2" t="s">
        <v>1840</v>
      </c>
      <c r="V15" s="15"/>
      <c r="W15" s="2" t="s">
        <v>1837</v>
      </c>
      <c r="X15" s="143" t="s">
        <v>1841</v>
      </c>
      <c r="Y15" s="143" t="s">
        <v>1842</v>
      </c>
      <c r="Z15" s="143" t="s">
        <v>1843</v>
      </c>
      <c r="AA15" s="143" t="s">
        <v>1844</v>
      </c>
      <c r="AB15" s="2" t="s">
        <v>1837</v>
      </c>
      <c r="AC15" s="2" t="s">
        <v>1837</v>
      </c>
    </row>
    <row r="16" spans="1:29" s="9" customFormat="1" ht="31.5" customHeight="1" x14ac:dyDescent="0.25">
      <c r="A16" s="40">
        <v>9</v>
      </c>
      <c r="B16" s="14" t="s">
        <v>480</v>
      </c>
      <c r="C16" s="13" t="s">
        <v>424</v>
      </c>
      <c r="D16" s="13" t="s">
        <v>477</v>
      </c>
      <c r="E16" s="13" t="s">
        <v>426</v>
      </c>
      <c r="F16" s="13" t="s">
        <v>478</v>
      </c>
      <c r="G16" s="13" t="s">
        <v>430</v>
      </c>
      <c r="H16" s="13" t="s">
        <v>479</v>
      </c>
      <c r="I16" s="13" t="s">
        <v>444</v>
      </c>
      <c r="J16" s="13" t="s">
        <v>446</v>
      </c>
      <c r="K16" s="13" t="s">
        <v>434</v>
      </c>
      <c r="Q16" s="23">
        <v>29900</v>
      </c>
      <c r="R16" s="140" t="s">
        <v>1827</v>
      </c>
      <c r="S16" s="2" t="str">
        <f t="shared" si="0"/>
        <v>Процессор MCF DSP-2600</v>
      </c>
      <c r="T16" s="2" t="str">
        <f t="shared" si="2"/>
        <v>Процессор MCF DSP-2600</v>
      </c>
      <c r="U16" s="2" t="s">
        <v>1840</v>
      </c>
      <c r="V16" s="15"/>
      <c r="W16" s="2" t="s">
        <v>1837</v>
      </c>
      <c r="X16" s="143" t="s">
        <v>1841</v>
      </c>
      <c r="Y16" s="143" t="s">
        <v>1842</v>
      </c>
      <c r="Z16" s="143" t="s">
        <v>1843</v>
      </c>
      <c r="AA16" s="143" t="s">
        <v>1844</v>
      </c>
      <c r="AB16" s="2" t="s">
        <v>1837</v>
      </c>
      <c r="AC16" s="2" t="s">
        <v>1837</v>
      </c>
    </row>
    <row r="17" spans="1:29" ht="31.5" customHeight="1" x14ac:dyDescent="0.25">
      <c r="A17" s="49">
        <v>10</v>
      </c>
      <c r="B17" s="30" t="s">
        <v>482</v>
      </c>
      <c r="C17" s="29" t="s">
        <v>424</v>
      </c>
      <c r="D17" s="29" t="s">
        <v>481</v>
      </c>
      <c r="E17" s="29" t="s">
        <v>426</v>
      </c>
      <c r="F17" s="29" t="s">
        <v>428</v>
      </c>
      <c r="G17" s="29" t="s">
        <v>430</v>
      </c>
      <c r="H17" s="29" t="s">
        <v>479</v>
      </c>
      <c r="I17" s="29" t="s">
        <v>444</v>
      </c>
      <c r="J17" s="29" t="s">
        <v>446</v>
      </c>
      <c r="K17" s="29" t="s">
        <v>434</v>
      </c>
      <c r="Q17" s="31">
        <v>34900</v>
      </c>
      <c r="R17" s="140" t="s">
        <v>1827</v>
      </c>
      <c r="S17" s="2" t="str">
        <f t="shared" si="0"/>
        <v>Процессор MCF DSP-4800</v>
      </c>
      <c r="T17" s="2" t="str">
        <f t="shared" si="2"/>
        <v>Процессор MCF DSP-4800</v>
      </c>
      <c r="U17" s="2" t="s">
        <v>1840</v>
      </c>
      <c r="V17" s="15"/>
      <c r="W17" s="2" t="s">
        <v>1837</v>
      </c>
      <c r="X17" s="143" t="s">
        <v>1841</v>
      </c>
      <c r="Y17" s="143" t="s">
        <v>1842</v>
      </c>
      <c r="Z17" s="143" t="s">
        <v>1843</v>
      </c>
      <c r="AA17" s="143" t="s">
        <v>1844</v>
      </c>
      <c r="AB17" s="2" t="s">
        <v>1837</v>
      </c>
      <c r="AC17" s="2" t="s">
        <v>1837</v>
      </c>
    </row>
    <row r="18" spans="1:29" s="9" customFormat="1" ht="45" customHeight="1" x14ac:dyDescent="0.25">
      <c r="A18" s="40">
        <v>11</v>
      </c>
      <c r="B18" s="14" t="s">
        <v>483</v>
      </c>
      <c r="C18" s="16"/>
      <c r="D18" s="13" t="s">
        <v>484</v>
      </c>
      <c r="E18" s="13" t="s">
        <v>426</v>
      </c>
      <c r="F18" s="13" t="s">
        <v>428</v>
      </c>
      <c r="G18" s="13" t="s">
        <v>430</v>
      </c>
      <c r="H18" s="13" t="s">
        <v>479</v>
      </c>
      <c r="I18" s="13" t="s">
        <v>444</v>
      </c>
      <c r="J18" s="13" t="s">
        <v>446</v>
      </c>
      <c r="K18" s="13" t="s">
        <v>434</v>
      </c>
      <c r="Q18" s="23">
        <v>34900</v>
      </c>
      <c r="R18" s="140" t="s">
        <v>1827</v>
      </c>
      <c r="S18" s="2" t="str">
        <f t="shared" si="0"/>
        <v>Процессор MCF DSP-4080</v>
      </c>
      <c r="T18" s="2" t="str">
        <f t="shared" si="2"/>
        <v>Процессор MCF DSP-4080</v>
      </c>
      <c r="U18" s="2" t="s">
        <v>1840</v>
      </c>
      <c r="V18" s="15"/>
      <c r="W18" s="2" t="s">
        <v>1837</v>
      </c>
      <c r="X18" s="143" t="s">
        <v>1841</v>
      </c>
      <c r="Y18" s="143" t="s">
        <v>1842</v>
      </c>
      <c r="Z18" s="143" t="s">
        <v>1843</v>
      </c>
      <c r="AA18" s="143" t="s">
        <v>1844</v>
      </c>
      <c r="AB18" s="2" t="s">
        <v>1837</v>
      </c>
      <c r="AC18" s="2" t="s">
        <v>1837</v>
      </c>
    </row>
    <row r="19" spans="1:29" s="39" customFormat="1" ht="45" customHeight="1" x14ac:dyDescent="0.25">
      <c r="B19" s="41"/>
      <c r="C19" s="46"/>
      <c r="D19" s="46" t="s">
        <v>403</v>
      </c>
      <c r="E19" s="46" t="s">
        <v>405</v>
      </c>
      <c r="F19" s="46" t="s">
        <v>448</v>
      </c>
      <c r="G19" s="46" t="s">
        <v>450</v>
      </c>
      <c r="H19" s="46" t="s">
        <v>407</v>
      </c>
      <c r="I19" s="46" t="s">
        <v>409</v>
      </c>
      <c r="J19" s="46" t="s">
        <v>411</v>
      </c>
      <c r="K19" s="46" t="s">
        <v>452</v>
      </c>
      <c r="L19" s="46" t="s">
        <v>453</v>
      </c>
      <c r="M19" s="46" t="s">
        <v>417</v>
      </c>
      <c r="N19" s="46" t="s">
        <v>431</v>
      </c>
      <c r="O19" s="46" t="s">
        <v>419</v>
      </c>
      <c r="P19" s="46" t="s">
        <v>421</v>
      </c>
      <c r="Q19" s="42"/>
      <c r="R19" s="140" t="s">
        <v>1827</v>
      </c>
      <c r="S19" s="2">
        <f t="shared" si="0"/>
        <v>0</v>
      </c>
      <c r="T19" s="2" t="str">
        <f t="shared" si="2"/>
        <v>0</v>
      </c>
      <c r="U19" s="2" t="s">
        <v>1840</v>
      </c>
      <c r="V19" s="15"/>
      <c r="W19" s="2" t="s">
        <v>1837</v>
      </c>
      <c r="X19" s="143" t="s">
        <v>1841</v>
      </c>
      <c r="Y19" s="143" t="s">
        <v>1842</v>
      </c>
      <c r="Z19" s="143" t="s">
        <v>1843</v>
      </c>
      <c r="AA19" s="143" t="s">
        <v>1844</v>
      </c>
      <c r="AB19" s="2" t="s">
        <v>1837</v>
      </c>
      <c r="AC19" s="2" t="s">
        <v>1837</v>
      </c>
    </row>
    <row r="20" spans="1:29" s="9" customFormat="1" ht="49.5" customHeight="1" x14ac:dyDescent="0.25">
      <c r="A20" s="40">
        <v>12</v>
      </c>
      <c r="B20" s="14" t="s">
        <v>485</v>
      </c>
      <c r="D20" s="13" t="s">
        <v>447</v>
      </c>
      <c r="E20" s="13" t="s">
        <v>406</v>
      </c>
      <c r="F20" s="13" t="s">
        <v>449</v>
      </c>
      <c r="G20" s="13" t="s">
        <v>451</v>
      </c>
      <c r="H20" s="13" t="s">
        <v>408</v>
      </c>
      <c r="I20" s="13" t="s">
        <v>410</v>
      </c>
      <c r="J20" s="13" t="s">
        <v>412</v>
      </c>
      <c r="K20" s="13" t="s">
        <v>414</v>
      </c>
      <c r="L20" s="13" t="s">
        <v>416</v>
      </c>
      <c r="M20" s="13" t="s">
        <v>416</v>
      </c>
      <c r="N20" s="16" t="s">
        <v>454</v>
      </c>
      <c r="O20" s="13" t="s">
        <v>420</v>
      </c>
      <c r="P20" s="13" t="s">
        <v>422</v>
      </c>
      <c r="Q20" s="23">
        <v>24900</v>
      </c>
      <c r="R20" s="140" t="s">
        <v>1827</v>
      </c>
      <c r="S20" s="2" t="str">
        <f t="shared" si="0"/>
        <v>Процессор MCF DSP-2040</v>
      </c>
      <c r="T20" s="2" t="str">
        <f t="shared" si="2"/>
        <v>Процессор MCF DSP-2040</v>
      </c>
      <c r="U20" s="2" t="s">
        <v>1840</v>
      </c>
      <c r="V20" s="15"/>
      <c r="W20" s="2" t="s">
        <v>1837</v>
      </c>
      <c r="X20" s="143" t="s">
        <v>1841</v>
      </c>
      <c r="Y20" s="143" t="s">
        <v>1842</v>
      </c>
      <c r="Z20" s="143" t="s">
        <v>1843</v>
      </c>
      <c r="AA20" s="143" t="s">
        <v>1844</v>
      </c>
      <c r="AB20" s="2" t="s">
        <v>1837</v>
      </c>
      <c r="AC20" s="2" t="s">
        <v>1837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ВЧ Динамики</vt:lpstr>
      <vt:lpstr>НЧ динамики</vt:lpstr>
      <vt:lpstr>Микшерные пульты</vt:lpstr>
      <vt:lpstr>Мультиколор</vt:lpstr>
      <vt:lpstr>Селекторное оборудование</vt:lpstr>
      <vt:lpstr>стойки</vt:lpstr>
      <vt:lpstr>Студ мониторы</vt:lpstr>
      <vt:lpstr>МС LED системы</vt:lpstr>
      <vt:lpstr>Акустические системы</vt:lpstr>
      <vt:lpstr>Коммутация и коннет соединения</vt:lpstr>
      <vt:lpstr>Радиосистемы</vt:lpstr>
      <vt:lpstr>Усилители мощности</vt:lpstr>
      <vt:lpstr>Процессоры, контроллеры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Евгения</dc:creator>
  <cp:lastModifiedBy>Пользователь Windows</cp:lastModifiedBy>
  <dcterms:created xsi:type="dcterms:W3CDTF">2019-03-19T12:34:57Z</dcterms:created>
  <dcterms:modified xsi:type="dcterms:W3CDTF">2019-12-12T00:07:40Z</dcterms:modified>
</cp:coreProperties>
</file>